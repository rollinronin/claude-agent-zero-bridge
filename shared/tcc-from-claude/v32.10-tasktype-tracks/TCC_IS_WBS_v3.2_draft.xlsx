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3.2 New Tasks" sheetId="2" state="visible" r:id="rId4"/>
    <sheet name="RAID Additions" sheetId="3" state="visible" r:id="rId5"/>
    <sheet name="Row Count Summary" sheetId="4" state="visible" r:id="rId6"/>
  </sheets>
  <definedNames>
    <definedName function="false" hidden="true" localSheetId="1" name="_xlnm._FilterDatabase" vbProcedure="false">'v3.2 New Tasks'!$A$1:$L$121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<sst xmlns="http://schemas.openxmlformats.org/spreadsheetml/2006/main" count="864" uniqueCount="303">
  <si>
    <t xml:space="preserve">TCC IS Portfolio Hub</t>
  </si>
  <si>
    <t xml:space="preserve">WBS v3.2 — Draft Rows for Review</t>
  </si>
  <si>
    <t xml:space="preserve">Prepared 2026-04-22  ·  Step 2 deliverable (v2 with dates)</t>
  </si>
  <si>
    <t xml:space="preserve">Purpose</t>
  </si>
  <si>
    <t xml:space="preserve">Row-level draft of 118 new tasks agreed in the red-line plan, with PlannedStart / PlannedEnd populated. Second red-line happens on THIS file - review row titles + dates, adjust, drop duplicates with existing v3.1 rows. Then rows flow to IS Project Tasks via Claude-in-Chrome SP REST.</t>
  </si>
  <si>
    <t xml:space="preserve">Status coloring on v3.2 New Tasks</t>
  </si>
  <si>
    <t xml:space="preserve">Green fill</t>
  </si>
  <si>
    <t xml:space="preserve">Complete - back-dated retrospective work or recently-closed tasks; 100% PercentComplete, ActualEnd set.</t>
  </si>
  <si>
    <t xml:space="preserve">Yellow fill</t>
  </si>
  <si>
    <t xml:space="preserve">Active - in progress now; partial PercentComplete, RAGStatus Amber.</t>
  </si>
  <si>
    <t xml:space="preserve">No fill (white)</t>
  </si>
  <si>
    <t xml:space="preserve">Not Started - forward-dated; 0% PercentComplete, RAGStatus Not Started.</t>
  </si>
  <si>
    <t xml:space="preserve">Date-source key in Notes</t>
  </si>
  <si>
    <t xml:space="preserve">BACK-DATED</t>
  </si>
  <si>
    <t xml:space="preserve">Historical event; suggested date is best-guess. PM to confirm.</t>
  </si>
  <si>
    <t xml:space="preserve">PM-provided</t>
  </si>
  <si>
    <t xml:space="preserve">Date given explicitly by PM (e.g., Chad eval Apr 27-May 7, OMF order end of May).</t>
  </si>
  <si>
    <t xml:space="preserve">Inferred</t>
  </si>
  <si>
    <t xml:space="preserve">Date derived from project memory + standard lead times. Flagged for PM adjustment.</t>
  </si>
  <si>
    <t xml:space="preserve">PC Procurement restructure</t>
  </si>
  <si>
    <t xml:space="preserve">PC Procurement expanded to 11 rows covering full 91-PC scope per PM: 18 OMF (14 operator station + 4 EBC Manager, ONE order) + 36 MTPD + 37 Council. Added: Funding String Analysis (Deliverable, now - refresh vs project funds), Demo Unit Evaluation (Apr 27-May 7 gate), and separate PO rows per audience. Schedule: eval Apr 27-May 7; OMF order May 8-31 immediately after eval; MTPD+Council orders May 15-Jun 15 (RAM price pressure); delivery Nov 2026; imaging Nov-Jan; testing Jan-Feb; sign-off Feb 28; go-live Mar 15 2027.</t>
  </si>
  <si>
    <t xml:space="preserve">Room 1007 Temp Space pull-ahead</t>
  </si>
  <si>
    <t xml:space="preserve">Target is now pre-State-Fair readiness per PM (late Aug). Setup &amp; Build-Out: Jan-Jul 31 (Active, pulled from Apr 30). Go-Live / Operational: Aug 15 target (earlier if achievable). Keep pushing through the Apr 30 original target; this update reflects realistic slip.</t>
  </si>
  <si>
    <t xml:space="preserve">Network &amp; CJIS pull-ahead</t>
  </si>
  <si>
    <t xml:space="preserve">Network Council/MTPD prep work pulled forward to Apr-Sep per PM - lab config + testing can proceed ahead of construction. Go-Live stays Construction Gate (install + cutover need TCC Final complete AND CJIS). CJIS Documentation pulled earlier: LASO Review Apr-May, BCA (if needed) Jun-Aug, Sign-Off Sep 15. CJIS thumbs-up is the critical gate for network install.</t>
  </si>
  <si>
    <t xml:space="preserve">Funding string rules (per PM)</t>
  </si>
  <si>
    <t xml:space="preserve">Refresh funds: existing equipment replacement + net new equipment. All 91 PCs are refresh-funded (18 OMF including the 4 EBC Manager + 36 MTPD + 37 Council). Project funds: monitors across the project. Funding String Analysis deliverable finalizes this BEFORE orders are placed.</t>
  </si>
  <si>
    <t xml:space="preserve">Column mapping to SP</t>
  </si>
  <si>
    <t xml:space="preserve">Title</t>
  </si>
  <si>
    <t xml:space="preserve">SP Title. Format: 'Workstream · Task' with middle dot.</t>
  </si>
  <si>
    <t xml:space="preserve">Project</t>
  </si>
  <si>
    <t xml:space="preserve">SP Project choice: TCC Expansion / NG911 Refresh / VuWall.</t>
  </si>
  <si>
    <t xml:space="preserve">TaskType</t>
  </si>
  <si>
    <t xml:space="preserve">SP TaskType choice: Task / Milestone / Construction Gate / Deliverable.</t>
  </si>
  <si>
    <t xml:space="preserve">Workstream</t>
  </si>
  <si>
    <t xml:space="preserve">SP Workstream text column. Free text; grouping key.</t>
  </si>
  <si>
    <t xml:space="preserve">PlannedStart / PlannedEnd / ActualEnd</t>
  </si>
  <si>
    <t xml:space="preserve">SP DateTime. ActualEnd set only on Complete rows.</t>
  </si>
  <si>
    <t xml:space="preserve">PercentComplete</t>
  </si>
  <si>
    <t xml:space="preserve">SP Number. 100 Complete / partial Active / 0 Not Started.</t>
  </si>
  <si>
    <t xml:space="preserve">RAGStatus</t>
  </si>
  <si>
    <t xml:space="preserve">SP Choice: Complete / Amber / Not Started (Green and Red reserved for future use).</t>
  </si>
  <si>
    <t xml:space="preserve">IsActive</t>
  </si>
  <si>
    <t xml:space="preserve">SP Boolean. TRUE for all new rows.</t>
  </si>
  <si>
    <t xml:space="preserve">Notes</t>
  </si>
  <si>
    <t xml:space="preserve">SP Note. Date-source flag + rationale + cross-references.</t>
  </si>
  <si>
    <t xml:space="preserve">What is NOT in this file</t>
  </si>
  <si>
    <t xml:space="preserve">• No existing v3.1 rows (this file adds only).
• No Phase / WBSNumber assignments - left blank; PM to assign at import or leave null.
• No Owner / AssignedTo - left blank.
• No Priority - left blank.
• No dashboard / Power Fx changes - v32.10 refactor follows separately after import.</t>
  </si>
  <si>
    <t xml:space="preserve">#</t>
  </si>
  <si>
    <t xml:space="preserve">PlannedStart</t>
  </si>
  <si>
    <t xml:space="preserve">PlannedEnd</t>
  </si>
  <si>
    <t xml:space="preserve">ActualEnd</t>
  </si>
  <si>
    <t xml:space="preserve">PC Procurement · Requirements &amp; Change Ticket</t>
  </si>
  <si>
    <t xml:space="preserve">TCC Expansion</t>
  </si>
  <si>
    <t xml:space="preserve">Task</t>
  </si>
  <si>
    <t xml:space="preserve">PC Procurement</t>
  </si>
  <si>
    <t xml:space="preserve">Complete</t>
  </si>
  <si>
    <t xml:space="preserve">Covers full PC scope: 18 OMF + 4 EBC Manager + 36 MTPD + 37 Council = 95 PCs total.</t>
  </si>
  <si>
    <t xml:space="preserve">PC Procurement · Implementation Plan</t>
  </si>
  <si>
    <t xml:space="preserve">Deliverable</t>
  </si>
  <si>
    <t xml:space="preserve">Amber</t>
  </si>
  <si>
    <t xml:space="preserve">Imaging approach, desk assignments, handover plan. Active - being finalized.</t>
  </si>
  <si>
    <t xml:space="preserve">PC Procurement · Funding String Analysis</t>
  </si>
  <si>
    <t xml:space="preserve">Nail down funding strings BEFORE orders placed. Rule per PM: refresh funds = existing replacement + net new equipment; project funds = monitors. Planning work happens now.</t>
  </si>
  <si>
    <t xml:space="preserve">PC Procurement · Demo Unit Evaluation</t>
  </si>
  <si>
    <t xml:space="preserve">Not Started</t>
  </si>
  <si>
    <t xml:space="preserve">10-day evaluation of demo units (2 Z2 + 1 CAD) starting Chad's return. Gates all four PC orders - once PC spec is locked, orders follow immediately.</t>
  </si>
  <si>
    <t xml:space="preserve">PC Procurement · OMF Bulk PC Order (18 units)</t>
  </si>
  <si>
    <t xml:space="preserve">Immediate after eval complete per PM. 18 PCs total: 14 operator station PCs (7 consoles x 2) + 4 EBC Manager-Office PCs. Refresh-funded.</t>
  </si>
  <si>
    <t xml:space="preserve">PC Procurement · MTPD PC Order (36 units)</t>
  </si>
  <si>
    <t xml:space="preserve">Shortly after OMF order (or combined) per PM - RAM price pressure drives urgency. 36 PCs for MTPD consoles; refresh-funded.</t>
  </si>
  <si>
    <t xml:space="preserve">PC Procurement · Council PC Order (37 units)</t>
  </si>
  <si>
    <t xml:space="preserve">Parallel to MTPD. 37 PCs for Council consoles; refresh-funded.</t>
  </si>
  <si>
    <t xml:space="preserve">PC Procurement · Imaging &amp; Build</t>
  </si>
  <si>
    <t xml:space="preserve">PC delivery Nov 2026 per PM. Imaging starts on arrival; can overlap across orders.</t>
  </si>
  <si>
    <t xml:space="preserve">PC Procurement · Testing</t>
  </si>
  <si>
    <t xml:space="preserve">Per-PC acceptance testing. PM adjust.</t>
  </si>
  <si>
    <t xml:space="preserve">PC Procurement · IS Acceptance / Sign-Off</t>
  </si>
  <si>
    <t xml:space="preserve">Milestone</t>
  </si>
  <si>
    <t xml:space="preserve">Inferred. PM adjust.</t>
  </si>
  <si>
    <t xml:space="preserve">PC Procurement · Go-Live</t>
  </si>
  <si>
    <t xml:space="preserve">Milestone TaskType (IS-owned date). PCs become production with construction + CJIS gates cleared.</t>
  </si>
  <si>
    <t xml:space="preserve">PC Deployment &amp; Imaging · Requirements &amp; Change Ticket</t>
  </si>
  <si>
    <t xml:space="preserve">PC Deployment &amp; Imaging</t>
  </si>
  <si>
    <t xml:space="preserve">Monitor work rides this lane; no separate monitor workstream. Pulled earlier.</t>
  </si>
  <si>
    <t xml:space="preserve">PC Deployment &amp; Imaging · Implementation Plan</t>
  </si>
  <si>
    <t xml:space="preserve">Pulled earlier; can proceed in parallel with PC procurement. PM adjust.</t>
  </si>
  <si>
    <t xml:space="preserve">PC Deployment &amp; Imaging · Monitor Procurement</t>
  </si>
  <si>
    <t xml:space="preserve">Monitors TBD per memory; project-funded. PM adjust.</t>
  </si>
  <si>
    <t xml:space="preserve">PC Deployment &amp; Imaging · PC Deployment</t>
  </si>
  <si>
    <t xml:space="preserve">Starts as PC imaging wraps (Nov-Jan); Construction-gated for TCC Final. PM adjust once NTP lands.</t>
  </si>
  <si>
    <t xml:space="preserve">PC Deployment &amp; Imaging · Monitor Deployment</t>
  </si>
  <si>
    <t xml:space="preserve">Parallel to PC Deployment.</t>
  </si>
  <si>
    <t xml:space="preserve">PC Deployment &amp; Imaging · Testing</t>
  </si>
  <si>
    <t xml:space="preserve">Post-deployment in TCC Final. PM adjust.</t>
  </si>
  <si>
    <t xml:space="preserve">PC Deployment &amp; Imaging · Back-out Plan (MPLS Monitor Migration)</t>
  </si>
  <si>
    <t xml:space="preserve">Mitigation: migrate MPLS monitors to OMF if monitor procurement slips. Sub-optimal; complicates fail-back.</t>
  </si>
  <si>
    <t xml:space="preserve">PC Deployment &amp; Imaging · PC Sign-Off</t>
  </si>
  <si>
    <t xml:space="preserve">Inferred.</t>
  </si>
  <si>
    <t xml:space="preserve">PC Deployment &amp; Imaging · Monitor Sign-Off</t>
  </si>
  <si>
    <t xml:space="preserve">PC Deployment &amp; Imaging · Go-Live</t>
  </si>
  <si>
    <t xml:space="preserve">Construction Gate</t>
  </si>
  <si>
    <t xml:space="preserve">Construction Gate - TCC Final construction-dependent. Date inferred from Sep 2026 construction start + 4-6 mo duration.</t>
  </si>
  <si>
    <t xml:space="preserve">Network — Council · Requirements &amp; Change Ticket</t>
  </si>
  <si>
    <t xml:space="preserve">Network — Council</t>
  </si>
  <si>
    <t xml:space="preserve">Pulled forward. Change ticket lead time is critical path.</t>
  </si>
  <si>
    <t xml:space="preserve">Network — Council · Implementation Plan</t>
  </si>
  <si>
    <t xml:space="preserve">Pulled forward from Jul. Network prep can happen ahead of construction.</t>
  </si>
  <si>
    <t xml:space="preserve">Network — Council · Procurement / PO Tracking</t>
  </si>
  <si>
    <t xml:space="preserve">Switch / cable equipment; project-funded net new.</t>
  </si>
  <si>
    <t xml:space="preserve">Network — Council · 30-Console Capacity Analysis</t>
  </si>
  <si>
    <t xml:space="preserve">Phase 2 pull-forward. Cross-references VuWall POC Design Phase 2 Infrastructure Location Analysis.</t>
  </si>
  <si>
    <t xml:space="preserve">Network — Council · Configuration / Build (Lab)</t>
  </si>
  <si>
    <t xml:space="preserve">Lab-configure equipment ahead of TCC Final. Per PM: could be ready April with CJIS thumbs-up; dates hold for CJIS LASO approval path.</t>
  </si>
  <si>
    <t xml:space="preserve">Network — Council · Testing (Lab)</t>
  </si>
  <si>
    <t xml:space="preserve">Bench testing before install. Decoupled from construction.</t>
  </si>
  <si>
    <t xml:space="preserve">Network — Council · Back-out Plan</t>
  </si>
  <si>
    <t xml:space="preserve">Pulled forward.</t>
  </si>
  <si>
    <t xml:space="preserve">Network — Council · Go-Live / Sign-Off</t>
  </si>
  <si>
    <t xml:space="preserve">Construction Gate - install + cutover gated on TCC Final construction complete AND CJIS approval.</t>
  </si>
  <si>
    <t xml:space="preserve">Network — MTPD · Requirements &amp; Change Ticket</t>
  </si>
  <si>
    <t xml:space="preserve">Network — MTPD</t>
  </si>
  <si>
    <t xml:space="preserve">Parallel change-ticket stream to Council. Pulled forward.</t>
  </si>
  <si>
    <t xml:space="preserve">Network — MTPD · Implementation Plan</t>
  </si>
  <si>
    <t xml:space="preserve">Network — MTPD · Procurement / PO Tracking</t>
  </si>
  <si>
    <t xml:space="preserve">Project-funded net new.</t>
  </si>
  <si>
    <t xml:space="preserve">Network — MTPD · 30-Console Capacity Analysis</t>
  </si>
  <si>
    <t xml:space="preserve">Network — MTPD · Configuration / Build (Lab)</t>
  </si>
  <si>
    <t xml:space="preserve">Lab-configure ahead of TCC Final. CJIS approval gates install.</t>
  </si>
  <si>
    <t xml:space="preserve">Network — MTPD · Testing (Lab)</t>
  </si>
  <si>
    <t xml:space="preserve">Bench testing.</t>
  </si>
  <si>
    <t xml:space="preserve">Network — MTPD · Back-out Plan</t>
  </si>
  <si>
    <t xml:space="preserve">Network — MTPD · Go-Live / Sign-Off</t>
  </si>
  <si>
    <t xml:space="preserve">Construction Gate - install + cutover gated on construction AND CJIS.</t>
  </si>
  <si>
    <t xml:space="preserve">Voice / Solacom Crossover · Requirements &amp; Change Ticket</t>
  </si>
  <si>
    <t xml:space="preserve">Voice / Solacom Crossover</t>
  </si>
  <si>
    <t xml:space="preserve">On-hold during NG911 RFP - operating on existing Solacom; workstream holds coordination placeholder. Dates inferred to start post-vendor-selection.</t>
  </si>
  <si>
    <t xml:space="preserve">Voice / Solacom Crossover · Implementation Plan</t>
  </si>
  <si>
    <t xml:space="preserve">Voice / Solacom Crossover · Configuration / Build</t>
  </si>
  <si>
    <t xml:space="preserve">Voice / Solacom Crossover · Testing</t>
  </si>
  <si>
    <t xml:space="preserve">Voice / Solacom Crossover · Go-Live / Sign-Off</t>
  </si>
  <si>
    <t xml:space="preserve">Construction Gate.</t>
  </si>
  <si>
    <t xml:space="preserve">CJIS Documentation · Requirements</t>
  </si>
  <si>
    <t xml:space="preserve">CJIS Documentation</t>
  </si>
  <si>
    <t xml:space="preserve">In progress. CJIS approval is the critical gate for network install and PC deployment per PM.</t>
  </si>
  <si>
    <t xml:space="preserve">CJIS Documentation · LASO Review</t>
  </si>
  <si>
    <t xml:space="preserve">Pulled forward (was May-Jul). Covers both (a) general CJIS posture and (b) EBC discretionary determination. LASO ruling feeds RAID Assumption re: BCA requirement. Critical path for network + PC deployment unblock.</t>
  </si>
  <si>
    <t xml:space="preserve">CJIS Documentation · BCA Submission (if needed)</t>
  </si>
  <si>
    <t xml:space="preserve">Pulled forward. Conditional - only if LASO escalates EBC. 8-10 week BCA cycle.</t>
  </si>
  <si>
    <t xml:space="preserve">CJIS Documentation · Sign-Off</t>
  </si>
  <si>
    <t xml:space="preserve">Pulled from Nov. CJIS thumbs-up unblocks network go-live + PC deployment production use.</t>
  </si>
  <si>
    <t xml:space="preserve">OCM / Training · Requirements</t>
  </si>
  <si>
    <t xml:space="preserve">OCM / Training</t>
  </si>
  <si>
    <t xml:space="preserve">Inferred - follows PC procurement + network readiness.</t>
  </si>
  <si>
    <t xml:space="preserve">OCM / Training · Training Plan</t>
  </si>
  <si>
    <t xml:space="preserve">OCM / Training · Delivery</t>
  </si>
  <si>
    <t xml:space="preserve">OCM / Training · Sign-Off</t>
  </si>
  <si>
    <t xml:space="preserve">Room 1007 Temp Space · Space Identification &amp; Finalization</t>
  </si>
  <si>
    <t xml:space="preserve">Room 1007 Temp Space</t>
  </si>
  <si>
    <t xml:space="preserve">BACK-DATED. Completed Q4 2025. PM to confirm exact dates.</t>
  </si>
  <si>
    <t xml:space="preserve">Room 1007 Temp Space · Network Design (Encrypted Tunnel)</t>
  </si>
  <si>
    <t xml:space="preserve">BACK-DATED. Network design simplified after encrypted-tunnel approach removed firewall dependency. PM to confirm dates.</t>
  </si>
  <si>
    <t xml:space="preserve">Room 1007 Temp Space · LASO Ticket &amp; Approvals</t>
  </si>
  <si>
    <t xml:space="preserve">BACK-DATED. PM to confirm dates.</t>
  </si>
  <si>
    <t xml:space="preserve">Room 1007 Temp Space · Setup &amp; Build-Out</t>
  </si>
  <si>
    <t xml:space="preserve">ACTIVE - in progress. Target pulled from Apr 30 to Jul 31 per PM; pre-State-Fair readiness. Earlier is better; push continues.</t>
  </si>
  <si>
    <t xml:space="preserve">Room 1007 Temp Space · Go-Live / Operational</t>
  </si>
  <si>
    <t xml:space="preserve">Built out, tested, ready-to-go BEFORE MN State Fair (late Aug) per PM. Earlier if achievable.</t>
  </si>
  <si>
    <t xml:space="preserve">Room 1007 Temp Space · Decommission Plan</t>
  </si>
  <si>
    <t xml:space="preserve">Forward. Triggered by TCC Final construction complete.</t>
  </si>
  <si>
    <t xml:space="preserve">Room 1007 Temp Space · Equipment Relocation</t>
  </si>
  <si>
    <t xml:space="preserve">Return equipment to MPLS. Inferred.</t>
  </si>
  <si>
    <t xml:space="preserve">Room 1007 Temp Space · IES Solacom Coordination</t>
  </si>
  <si>
    <t xml:space="preserve">Coordinate with IES on Solacom equipment removal timeline - ties to RAID Action re: IES coordination.</t>
  </si>
  <si>
    <t xml:space="preserve">Room 1007 Temp Space · Cleanup &amp; Return to Rail</t>
  </si>
  <si>
    <t xml:space="preserve">TCC Operational Readiness · Requirements &amp; Change Ticket</t>
  </si>
  <si>
    <t xml:space="preserve">TCC Operational Readiness</t>
  </si>
  <si>
    <t xml:space="preserve">Quantify TCC support needs per Chad Ladda's 4/17 'TCC Current State &amp; Upcoming Needs' doc. Replacement interface for Paul Burke (now off this work).</t>
  </si>
  <si>
    <t xml:space="preserve">TCC Operational Readiness · Implementation Plan</t>
  </si>
  <si>
    <t xml:space="preserve">Recommend solution (person / KB / hybrid). IS SME leads quantify -&gt; recommend -&gt; shepherd path.</t>
  </si>
  <si>
    <t xml:space="preserve">TCC Operational Readiness · Configuration / Build</t>
  </si>
  <si>
    <t xml:space="preserve">Shepherd implementation across voice / network / security / endpoint teams.</t>
  </si>
  <si>
    <t xml:space="preserve">TCC Operational Readiness · Testing</t>
  </si>
  <si>
    <t xml:space="preserve">Validate solution (person / KB / hybrid) works in practice.</t>
  </si>
  <si>
    <t xml:space="preserve">TCC Operational Readiness · IS Acceptance / Sign-Off</t>
  </si>
  <si>
    <t xml:space="preserve">Pre-RFP Discovery · Solacom EOL Assessment</t>
  </si>
  <si>
    <t xml:space="preserve">NG911 Refresh</t>
  </si>
  <si>
    <t xml:space="preserve">Pre-RFP Discovery</t>
  </si>
  <si>
    <t xml:space="preserve">BACK-DATED. Captures re-baseline story: Solacom approaching EOL. PM to confirm dates.</t>
  </si>
  <si>
    <t xml:space="preserve">Pre-RFP Discovery · Solacom Upgrade Proposal &amp; Response</t>
  </si>
  <si>
    <t xml:space="preserve">BACK-DATED. Vendor response: replace the whole system. PM to confirm dates.</t>
  </si>
  <si>
    <t xml:space="preserve">Pre-RFP Discovery · FE Cloud RFP Recommendation</t>
  </si>
  <si>
    <t xml:space="preserve">BACK-DATED. FE recommended cloud-hosted RFP path. PM to confirm dates.</t>
  </si>
  <si>
    <t xml:space="preserve">Pre-RFP Discovery · Pivot Decision Record</t>
  </si>
  <si>
    <t xml:space="preserve">BACK-DATED. Decision to pivot to cloud RFP.</t>
  </si>
  <si>
    <t xml:space="preserve">RFP &amp; Requirements · Requirements &amp; Change Ticket</t>
  </si>
  <si>
    <t xml:space="preserve">RFP &amp; Requirements</t>
  </si>
  <si>
    <t xml:space="preserve">Apr 17 workshop already happened - per v3.1 existing milestone. COMPLETE.</t>
  </si>
  <si>
    <t xml:space="preserve">RFP &amp; Requirements · Implementation Plan (RFP Process)</t>
  </si>
  <si>
    <t xml:space="preserve">Active. FE-led; IS contributes requirements input.</t>
  </si>
  <si>
    <t xml:space="preserve">RFP &amp; Requirements · IS Requirements Input to FE</t>
  </si>
  <si>
    <t xml:space="preserve">Active.</t>
  </si>
  <si>
    <t xml:space="preserve">RFP &amp; Requirements · Review &amp; Validate RFP Package</t>
  </si>
  <si>
    <t xml:space="preserve">Testing equivalent for a documentation workstream.</t>
  </si>
  <si>
    <t xml:space="preserve">RFP &amp; Requirements · IS Acceptance / Sign-Off</t>
  </si>
  <si>
    <t xml:space="preserve">Possible overlap with existing v3.1 milestone 'FE Design Recommendation Review (Apr 17 Workshop)' - verify before import.</t>
  </si>
  <si>
    <t xml:space="preserve">Vendor Selection &amp; Contract · Requirements &amp; Change Ticket</t>
  </si>
  <si>
    <t xml:space="preserve">Vendor Selection &amp; Contract</t>
  </si>
  <si>
    <t xml:space="preserve">Vendor Selection &amp; Contract · Evaluation Plan</t>
  </si>
  <si>
    <t xml:space="preserve">Vendor evaluation criteria and methodology.</t>
  </si>
  <si>
    <t xml:space="preserve">Vendor Selection &amp; Contract · Vendor Evaluation</t>
  </si>
  <si>
    <t xml:space="preserve">Vendor Selection &amp; Contract · LASO Review (CJIS Compliance)</t>
  </si>
  <si>
    <t xml:space="preserve">Ensures cloud vendor meets CJIS before contract signature. FE handles compliance evaluation within RFP; IS tracks the gate.</t>
  </si>
  <si>
    <t xml:space="preserve">Vendor Selection &amp; Contract · Contract Award</t>
  </si>
  <si>
    <t xml:space="preserve">Possible overlap with existing v3.1 milestone 'Vendor Selection &amp; Contract Award' - verify before import.</t>
  </si>
  <si>
    <t xml:space="preserve">Vendor Selection &amp; Contract · IS Acceptance / Sign-Off</t>
  </si>
  <si>
    <t xml:space="preserve">Cloud Configuration · Requirements &amp; Change Ticket</t>
  </si>
  <si>
    <t xml:space="preserve">Cloud Configuration</t>
  </si>
  <si>
    <t xml:space="preserve">Inferred - post contract award.</t>
  </si>
  <si>
    <t xml:space="preserve">Cloud Configuration · Implementation Plan</t>
  </si>
  <si>
    <t xml:space="preserve">Cloud Configuration · Configuration / Build</t>
  </si>
  <si>
    <t xml:space="preserve">Cloud Configuration · Testing</t>
  </si>
  <si>
    <t xml:space="preserve">Cloud Configuration · Back-out Plan</t>
  </si>
  <si>
    <t xml:space="preserve">Service-impact scenarios for cloud cutover.</t>
  </si>
  <si>
    <t xml:space="preserve">Cloud Configuration · IS Acceptance / Sign-Off</t>
  </si>
  <si>
    <t xml:space="preserve">Cutover · Requirements &amp; Change Ticket</t>
  </si>
  <si>
    <t xml:space="preserve">Cutover</t>
  </si>
  <si>
    <t xml:space="preserve">Highest-risk NG911 workstream.</t>
  </si>
  <si>
    <t xml:space="preserve">Cutover · Implementation Plan</t>
  </si>
  <si>
    <t xml:space="preserve">Cutover · Configuration / Build (Pre-Cutover)</t>
  </si>
  <si>
    <t xml:space="preserve">Cutover · Testing (Pre-Cutover Validation)</t>
  </si>
  <si>
    <t xml:space="preserve">Cutover · Back-out Plan</t>
  </si>
  <si>
    <t xml:space="preserve">Cutover · IS Acceptance / Sign-Off</t>
  </si>
  <si>
    <t xml:space="preserve">Cutover · Go-Live</t>
  </si>
  <si>
    <t xml:space="preserve">Go-Live TaskType = Milestone (not construction-dependent). Inferred date.</t>
  </si>
  <si>
    <t xml:space="preserve">Decommission (Mitel lines) · Requirements</t>
  </si>
  <si>
    <t xml:space="preserve">Decommission (Mitel lines)</t>
  </si>
  <si>
    <t xml:space="preserve">4-line decommission post-cutover.</t>
  </si>
  <si>
    <t xml:space="preserve">Decommission (Mitel lines) · Decommission Plan</t>
  </si>
  <si>
    <t xml:space="preserve">Decommission (Mitel lines) · Execute (4 lines)</t>
  </si>
  <si>
    <t xml:space="preserve">Decommission (Mitel lines) · Verify</t>
  </si>
  <si>
    <t xml:space="preserve">POC Design · Requirements &amp; Change Ticket</t>
  </si>
  <si>
    <t xml:space="preserve">VuWall</t>
  </si>
  <si>
    <t xml:space="preserve">POC Design</t>
  </si>
  <si>
    <t xml:space="preserve">PO issued Mar 26 per memory. Active.</t>
  </si>
  <si>
    <t xml:space="preserve">POC Design · Implementation Plan</t>
  </si>
  <si>
    <t xml:space="preserve">POC Design · Phase 2 Infrastructure Location Analysis</t>
  </si>
  <si>
    <t xml:space="preserve">MPLS data-room vs. data-center evaluation + chassis/blade needs at 30-console scale. Cross-references Network Council/MTPD 30-console capacity rows.</t>
  </si>
  <si>
    <t xml:space="preserve">POC Design · Configuration / Build (Spec)</t>
  </si>
  <si>
    <t xml:space="preserve">POC Design · Testing (Spec Review)</t>
  </si>
  <si>
    <t xml:space="preserve">POC Design · IS Acceptance / Sign-Off</t>
  </si>
  <si>
    <t xml:space="preserve">POC Build · Requirements &amp; Change Ticket</t>
  </si>
  <si>
    <t xml:space="preserve">POC Build</t>
  </si>
  <si>
    <t xml:space="preserve">POC Build · Implementation Plan</t>
  </si>
  <si>
    <t xml:space="preserve">POC Build · Configuration / Build</t>
  </si>
  <si>
    <t xml:space="preserve">POC Build · Testing</t>
  </si>
  <si>
    <t xml:space="preserve">POC Build · Back-out Plan (Firewall / Switch-Port Rollback)</t>
  </si>
  <si>
    <t xml:space="preserve">If POC gear has to come out.</t>
  </si>
  <si>
    <t xml:space="preserve">POC Build · IS Acceptance / Sign-Off</t>
  </si>
  <si>
    <t xml:space="preserve">POC Testing · Requirements &amp; Change Ticket</t>
  </si>
  <si>
    <t xml:space="preserve">POC Testing</t>
  </si>
  <si>
    <t xml:space="preserve">Testing is the POC itself - evaluation criteria, results, IS acceptance.</t>
  </si>
  <si>
    <t xml:space="preserve">POC Testing · Evaluation Criteria &amp; Test Plan</t>
  </si>
  <si>
    <t xml:space="preserve">POC Testing · Execute Tests</t>
  </si>
  <si>
    <t xml:space="preserve">POC Testing · Results Analysis</t>
  </si>
  <si>
    <t xml:space="preserve">POC Testing · IS Acceptance / Sign-Off</t>
  </si>
  <si>
    <t xml:space="preserve">BCA Submission · Requirements</t>
  </si>
  <si>
    <t xml:space="preserve">BCA Submission</t>
  </si>
  <si>
    <t xml:space="preserve">Inferred - target June submission per memory (conflicts with IS Network team unavailability Apr-May; starts May).</t>
  </si>
  <si>
    <t xml:space="preserve">BCA Submission · LASO Review</t>
  </si>
  <si>
    <t xml:space="preserve">BCA intake path: design -&gt; LASO -&gt; BCA -&gt; LASO thumbs-up -&gt; deploy.</t>
  </si>
  <si>
    <t xml:space="preserve">BCA Submission · BCA Submission Package</t>
  </si>
  <si>
    <t xml:space="preserve">Per memory: June target, falls back to Aug-Sep if missed.</t>
  </si>
  <si>
    <t xml:space="preserve">BCA Submission · Sign-Off (LASO Approval)</t>
  </si>
  <si>
    <t xml:space="preserve">8-10 week BCA cycle from July submission.</t>
  </si>
  <si>
    <t xml:space="preserve">Go/No-Go Decision · Decision Milestone</t>
  </si>
  <si>
    <t xml:space="preserve">Go/No-Go Decision</t>
  </si>
  <si>
    <t xml:space="preserve">Single go/no-go decision point - after POC Testing complete. Inferred.</t>
  </si>
  <si>
    <t xml:space="preserve">Go/No-Go Decision · Deployment Plan</t>
  </si>
  <si>
    <t xml:space="preserve">Go/No-Go Decision · Disposition (Leave / Remove / Migrate)</t>
  </si>
  <si>
    <t xml:space="preserve">POC equipment disposition at end of POC. Inferred.</t>
  </si>
  <si>
    <t xml:space="preserve">RAID Type</t>
  </si>
  <si>
    <t xml:space="preserve">Description</t>
  </si>
  <si>
    <t xml:space="preserve">Status</t>
  </si>
  <si>
    <t xml:space="preserve">Assumption</t>
  </si>
  <si>
    <t xml:space="preserve">BCA may be required for EBC scope</t>
  </si>
  <si>
    <t xml:space="preserve">BCA may be required for EBC scope - LASO-discretionary until confirmed. Ties to CJIS Documentation LASO Review action. Close when LASO rules.</t>
  </si>
  <si>
    <t xml:space="preserve">Open</t>
  </si>
  <si>
    <t xml:space="preserve">Opportunity</t>
  </si>
  <si>
    <t xml:space="preserve">Phase 2 Network Capacity as its own forward workstream</t>
  </si>
  <si>
    <t xml:space="preserve">Promote once VuWall current-state findings return. Ties to Network Council + MTPD 30-console Deliverable rows.</t>
  </si>
  <si>
    <t xml:space="preserve">Action</t>
  </si>
  <si>
    <t xml:space="preserve">Quantify TCC support needs (existing - stays open)</t>
  </si>
  <si>
    <t xml:space="preserve">Per Chad Ladda's 4/17 'TCC Current State &amp; Upcoming Needs' doc; IS SME leads. Parallel to TCC Operational Readiness workstream. Does NOT close until a dedicated resource solution is actually in place - naming the SME is a milestone within the action, not its resolution.</t>
  </si>
  <si>
    <t xml:space="preserve">IES coordination for Room 1007 decommission</t>
  </si>
  <si>
    <t xml:space="preserve">Confirm IES Solacom equipment removal timeline alignment with IS equipment return to MPLS. Ties to Room 1007 decommission rows.</t>
  </si>
  <si>
    <t xml:space="preserve">Row Count Summary</t>
  </si>
  <si>
    <t xml:space="preserve">Workstreams</t>
  </si>
  <si>
    <t xml:space="preserve">Total Rows</t>
  </si>
  <si>
    <t xml:space="preserve">Active</t>
  </si>
  <si>
    <t xml:space="preserve">Total</t>
  </si>
  <si>
    <t xml:space="preserve">Per-workstream</t>
  </si>
  <si>
    <t xml:space="preserve">Rows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</si>
</sst>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43971"/>
      <name val="Arial"/>
      <family val="0"/>
      <charset val="1"/>
    </font>
    <font>
      <b val="true"/>
      <sz val="16"/>
      <color rgb="FF043971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4397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43971"/>
        <bgColor rgb="FF333399"/>
      </patternFill>
    </fill>
    <fill>
      <patternFill patternType="solid">
        <fgColor rgb="FFD4EDDA"/>
        <bgColor rgb="FFE8EEF5"/>
      </patternFill>
    </fill>
    <fill>
      <patternFill patternType="solid">
        <fgColor rgb="FFFFF8E1"/>
        <bgColor rgb="FFFFFFFF"/>
      </patternFill>
    </fill>
    <fill>
      <patternFill patternType="solid">
        <fgColor rgb="FFE8EEF5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43971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4397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1" t="s">
        <v>3</v>
      </c>
    </row>
    <row r="6" customFormat="false" ht="113.4" hidden="false" customHeight="false" outlineLevel="0" collapsed="false">
      <c r="A6" s="4" t="s">
        <v>4</v>
      </c>
    </row>
    <row r="9" customFormat="false" ht="15" hidden="false" customHeight="false" outlineLevel="0" collapsed="false">
      <c r="A9" s="1" t="s">
        <v>5</v>
      </c>
    </row>
    <row r="10" customFormat="false" ht="23.85" hidden="false" customHeight="false" outlineLevel="0" collapsed="false">
      <c r="A10" s="5" t="s">
        <v>6</v>
      </c>
      <c r="B10" s="4" t="s">
        <v>7</v>
      </c>
    </row>
    <row r="11" customFormat="false" ht="15" hidden="false" customHeight="false" outlineLevel="0" collapsed="false">
      <c r="A11" s="5" t="s">
        <v>8</v>
      </c>
      <c r="B11" s="4" t="s">
        <v>9</v>
      </c>
    </row>
    <row r="12" customFormat="false" ht="15" hidden="false" customHeight="false" outlineLevel="0" collapsed="false">
      <c r="A12" s="5" t="s">
        <v>10</v>
      </c>
      <c r="B12" s="4" t="s">
        <v>11</v>
      </c>
    </row>
    <row r="15" customFormat="false" ht="15" hidden="false" customHeight="false" outlineLevel="0" collapsed="false">
      <c r="A15" s="1" t="s">
        <v>12</v>
      </c>
    </row>
    <row r="16" customFormat="false" ht="15" hidden="false" customHeight="false" outlineLevel="0" collapsed="false">
      <c r="A16" s="5" t="s">
        <v>13</v>
      </c>
      <c r="B16" s="4" t="s">
        <v>14</v>
      </c>
    </row>
    <row r="17" customFormat="false" ht="15" hidden="false" customHeight="false" outlineLevel="0" collapsed="false">
      <c r="A17" s="5" t="s">
        <v>15</v>
      </c>
      <c r="B17" s="4" t="s">
        <v>16</v>
      </c>
    </row>
    <row r="18" customFormat="false" ht="15" hidden="false" customHeight="false" outlineLevel="0" collapsed="false">
      <c r="A18" s="5" t="s">
        <v>17</v>
      </c>
      <c r="B18" s="4" t="s">
        <v>18</v>
      </c>
    </row>
    <row r="21" customFormat="false" ht="15" hidden="false" customHeight="false" outlineLevel="0" collapsed="false">
      <c r="A21" s="1" t="s">
        <v>19</v>
      </c>
    </row>
    <row r="22" customFormat="false" ht="90" hidden="false" customHeight="true" outlineLevel="0" collapsed="false">
      <c r="A22" s="4" t="s">
        <v>20</v>
      </c>
    </row>
    <row r="25" customFormat="false" ht="15" hidden="false" customHeight="false" outlineLevel="0" collapsed="false">
      <c r="A25" s="1" t="s">
        <v>21</v>
      </c>
    </row>
    <row r="26" customFormat="false" ht="60" hidden="false" customHeight="true" outlineLevel="0" collapsed="false">
      <c r="A26" s="4" t="s">
        <v>22</v>
      </c>
    </row>
    <row r="29" customFormat="false" ht="15" hidden="false" customHeight="false" outlineLevel="0" collapsed="false">
      <c r="A29" s="1" t="s">
        <v>23</v>
      </c>
    </row>
    <row r="30" customFormat="false" ht="60" hidden="false" customHeight="true" outlineLevel="0" collapsed="false">
      <c r="A30" s="4" t="s">
        <v>24</v>
      </c>
    </row>
    <row r="33" customFormat="false" ht="15" hidden="false" customHeight="false" outlineLevel="0" collapsed="false">
      <c r="A33" s="1" t="s">
        <v>25</v>
      </c>
    </row>
    <row r="34" customFormat="false" ht="60" hidden="false" customHeight="true" outlineLevel="0" collapsed="false">
      <c r="A34" s="4" t="s">
        <v>26</v>
      </c>
    </row>
    <row r="37" customFormat="false" ht="15" hidden="false" customHeight="false" outlineLevel="0" collapsed="false">
      <c r="A37" s="1" t="s">
        <v>27</v>
      </c>
    </row>
    <row r="38" customFormat="false" ht="27.75" hidden="false" customHeight="true" outlineLevel="0" collapsed="false">
      <c r="A38" s="5" t="s">
        <v>28</v>
      </c>
      <c r="B38" s="4" t="s">
        <v>29</v>
      </c>
    </row>
    <row r="39" customFormat="false" ht="27.75" hidden="false" customHeight="true" outlineLevel="0" collapsed="false">
      <c r="A39" s="5" t="s">
        <v>30</v>
      </c>
      <c r="B39" s="4" t="s">
        <v>31</v>
      </c>
    </row>
    <row r="40" customFormat="false" ht="27.75" hidden="false" customHeight="true" outlineLevel="0" collapsed="false">
      <c r="A40" s="5" t="s">
        <v>32</v>
      </c>
      <c r="B40" s="4" t="s">
        <v>33</v>
      </c>
    </row>
    <row r="41" customFormat="false" ht="27.75" hidden="false" customHeight="true" outlineLevel="0" collapsed="false">
      <c r="A41" s="5" t="s">
        <v>34</v>
      </c>
      <c r="B41" s="4" t="s">
        <v>35</v>
      </c>
    </row>
    <row r="42" customFormat="false" ht="27.75" hidden="false" customHeight="true" outlineLevel="0" collapsed="false">
      <c r="A42" s="5" t="s">
        <v>36</v>
      </c>
      <c r="B42" s="4" t="s">
        <v>37</v>
      </c>
    </row>
    <row r="43" customFormat="false" ht="27.75" hidden="false" customHeight="true" outlineLevel="0" collapsed="false">
      <c r="A43" s="5" t="s">
        <v>38</v>
      </c>
      <c r="B43" s="4" t="s">
        <v>39</v>
      </c>
    </row>
    <row r="44" customFormat="false" ht="27.75" hidden="false" customHeight="true" outlineLevel="0" collapsed="false">
      <c r="A44" s="5" t="s">
        <v>40</v>
      </c>
      <c r="B44" s="4" t="s">
        <v>41</v>
      </c>
    </row>
    <row r="45" customFormat="false" ht="27.75" hidden="false" customHeight="true" outlineLevel="0" collapsed="false">
      <c r="A45" s="5" t="s">
        <v>42</v>
      </c>
      <c r="B45" s="4" t="s">
        <v>43</v>
      </c>
    </row>
    <row r="46" customFormat="false" ht="27.75" hidden="false" customHeight="true" outlineLevel="0" collapsed="false">
      <c r="A46" s="5" t="s">
        <v>44</v>
      </c>
      <c r="B46" s="4" t="s">
        <v>45</v>
      </c>
    </row>
    <row r="48" customFormat="false" ht="15" hidden="false" customHeight="false" outlineLevel="0" collapsed="false">
      <c r="A48" s="1" t="s">
        <v>46</v>
      </c>
    </row>
    <row r="49" customFormat="false" ht="90" hidden="false" customHeight="true" outlineLevel="0" collapsed="false">
      <c r="A49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8" min="6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60"/>
  </cols>
  <sheetData>
    <row r="1" customFormat="false" ht="24" hidden="false" customHeight="true" outlineLevel="0" collapsed="false">
      <c r="A1" s="6" t="s">
        <v>48</v>
      </c>
      <c r="B1" s="6" t="s">
        <v>28</v>
      </c>
      <c r="C1" s="6" t="s">
        <v>30</v>
      </c>
      <c r="D1" s="6" t="s">
        <v>32</v>
      </c>
      <c r="E1" s="6" t="s">
        <v>34</v>
      </c>
      <c r="F1" s="6" t="s">
        <v>49</v>
      </c>
      <c r="G1" s="6" t="s">
        <v>50</v>
      </c>
      <c r="H1" s="6" t="s">
        <v>51</v>
      </c>
      <c r="I1" s="6" t="s">
        <v>38</v>
      </c>
      <c r="J1" s="6" t="s">
        <v>40</v>
      </c>
      <c r="K1" s="6" t="s">
        <v>42</v>
      </c>
      <c r="L1" s="6" t="s">
        <v>44</v>
      </c>
    </row>
    <row r="2" customFormat="false" ht="23.85" hidden="false" customHeight="false" outlineLevel="0" collapsed="false">
      <c r="A2" s="7" t="n">
        <v>1</v>
      </c>
      <c r="B2" s="8" t="s">
        <v>52</v>
      </c>
      <c r="C2" s="9" t="s">
        <v>53</v>
      </c>
      <c r="D2" s="9" t="s">
        <v>54</v>
      </c>
      <c r="E2" s="8" t="s">
        <v>55</v>
      </c>
      <c r="F2" s="10" t="n">
        <v>46082</v>
      </c>
      <c r="G2" s="10" t="n">
        <v>46134</v>
      </c>
      <c r="H2" s="10" t="n">
        <v>46134</v>
      </c>
      <c r="I2" s="9" t="n">
        <v>100</v>
      </c>
      <c r="J2" s="9" t="s">
        <v>56</v>
      </c>
      <c r="K2" s="11" t="b">
        <f aca="false">TRUE()</f>
        <v>1</v>
      </c>
      <c r="L2" s="8" t="s">
        <v>57</v>
      </c>
    </row>
    <row r="3" customFormat="false" ht="23.85" hidden="false" customHeight="false" outlineLevel="0" collapsed="false">
      <c r="A3" s="12" t="n">
        <v>2</v>
      </c>
      <c r="B3" s="13" t="s">
        <v>58</v>
      </c>
      <c r="C3" s="14" t="s">
        <v>53</v>
      </c>
      <c r="D3" s="14" t="s">
        <v>59</v>
      </c>
      <c r="E3" s="13" t="s">
        <v>55</v>
      </c>
      <c r="F3" s="15" t="n">
        <v>46096</v>
      </c>
      <c r="G3" s="15" t="n">
        <v>46157</v>
      </c>
      <c r="H3" s="14"/>
      <c r="I3" s="14" t="n">
        <v>60</v>
      </c>
      <c r="J3" s="14" t="s">
        <v>60</v>
      </c>
      <c r="K3" s="16" t="b">
        <f aca="false">TRUE()</f>
        <v>1</v>
      </c>
      <c r="L3" s="13" t="s">
        <v>61</v>
      </c>
    </row>
    <row r="4" customFormat="false" ht="35.05" hidden="false" customHeight="false" outlineLevel="0" collapsed="false">
      <c r="A4" s="12" t="n">
        <v>3</v>
      </c>
      <c r="B4" s="13" t="s">
        <v>62</v>
      </c>
      <c r="C4" s="14" t="s">
        <v>53</v>
      </c>
      <c r="D4" s="14" t="s">
        <v>59</v>
      </c>
      <c r="E4" s="13" t="s">
        <v>55</v>
      </c>
      <c r="F4" s="15" t="n">
        <v>46127</v>
      </c>
      <c r="G4" s="15" t="n">
        <v>46157</v>
      </c>
      <c r="H4" s="14"/>
      <c r="I4" s="14" t="n">
        <v>20</v>
      </c>
      <c r="J4" s="14" t="s">
        <v>60</v>
      </c>
      <c r="K4" s="16" t="b">
        <f aca="false">TRUE()</f>
        <v>1</v>
      </c>
      <c r="L4" s="13" t="s">
        <v>63</v>
      </c>
    </row>
    <row r="5" customFormat="false" ht="35.05" hidden="false" customHeight="false" outlineLevel="0" collapsed="false">
      <c r="A5" s="17" t="n">
        <v>4</v>
      </c>
      <c r="B5" s="18" t="s">
        <v>64</v>
      </c>
      <c r="C5" s="19" t="s">
        <v>53</v>
      </c>
      <c r="D5" s="19" t="s">
        <v>54</v>
      </c>
      <c r="E5" s="18" t="s">
        <v>55</v>
      </c>
      <c r="F5" s="20" t="n">
        <v>46139</v>
      </c>
      <c r="G5" s="20" t="n">
        <v>46149</v>
      </c>
      <c r="H5" s="19"/>
      <c r="I5" s="19" t="n">
        <v>0</v>
      </c>
      <c r="J5" s="19" t="s">
        <v>65</v>
      </c>
      <c r="K5" s="21" t="b">
        <f aca="false">TRUE()</f>
        <v>1</v>
      </c>
      <c r="L5" s="18" t="s">
        <v>66</v>
      </c>
    </row>
    <row r="6" customFormat="false" ht="23.85" hidden="false" customHeight="false" outlineLevel="0" collapsed="false">
      <c r="A6" s="17" t="n">
        <v>5</v>
      </c>
      <c r="B6" s="18" t="s">
        <v>67</v>
      </c>
      <c r="C6" s="19" t="s">
        <v>53</v>
      </c>
      <c r="D6" s="19" t="s">
        <v>54</v>
      </c>
      <c r="E6" s="18" t="s">
        <v>55</v>
      </c>
      <c r="F6" s="20" t="n">
        <v>46150</v>
      </c>
      <c r="G6" s="20" t="n">
        <v>46173</v>
      </c>
      <c r="H6" s="19"/>
      <c r="I6" s="19" t="n">
        <v>0</v>
      </c>
      <c r="J6" s="19" t="s">
        <v>65</v>
      </c>
      <c r="K6" s="21" t="b">
        <f aca="false">TRUE()</f>
        <v>1</v>
      </c>
      <c r="L6" s="18" t="s">
        <v>68</v>
      </c>
    </row>
    <row r="7" customFormat="false" ht="23.85" hidden="false" customHeight="false" outlineLevel="0" collapsed="false">
      <c r="A7" s="17" t="n">
        <v>6</v>
      </c>
      <c r="B7" s="18" t="s">
        <v>69</v>
      </c>
      <c r="C7" s="19" t="s">
        <v>53</v>
      </c>
      <c r="D7" s="19" t="s">
        <v>54</v>
      </c>
      <c r="E7" s="18" t="s">
        <v>55</v>
      </c>
      <c r="F7" s="20" t="n">
        <v>46157</v>
      </c>
      <c r="G7" s="20" t="n">
        <v>46188</v>
      </c>
      <c r="H7" s="19"/>
      <c r="I7" s="19" t="n">
        <v>0</v>
      </c>
      <c r="J7" s="19" t="s">
        <v>65</v>
      </c>
      <c r="K7" s="21" t="b">
        <f aca="false">TRUE()</f>
        <v>1</v>
      </c>
      <c r="L7" s="18" t="s">
        <v>70</v>
      </c>
    </row>
    <row r="8" customFormat="false" ht="15" hidden="false" customHeight="false" outlineLevel="0" collapsed="false">
      <c r="A8" s="17" t="n">
        <v>7</v>
      </c>
      <c r="B8" s="18" t="s">
        <v>71</v>
      </c>
      <c r="C8" s="19" t="s">
        <v>53</v>
      </c>
      <c r="D8" s="19" t="s">
        <v>54</v>
      </c>
      <c r="E8" s="18" t="s">
        <v>55</v>
      </c>
      <c r="F8" s="20" t="n">
        <v>46157</v>
      </c>
      <c r="G8" s="20" t="n">
        <v>46188</v>
      </c>
      <c r="H8" s="19"/>
      <c r="I8" s="19" t="n">
        <v>0</v>
      </c>
      <c r="J8" s="19" t="s">
        <v>65</v>
      </c>
      <c r="K8" s="21" t="b">
        <f aca="false">TRUE()</f>
        <v>1</v>
      </c>
      <c r="L8" s="18" t="s">
        <v>72</v>
      </c>
    </row>
    <row r="9" customFormat="false" ht="23.85" hidden="false" customHeight="false" outlineLevel="0" collapsed="false">
      <c r="A9" s="17" t="n">
        <v>8</v>
      </c>
      <c r="B9" s="18" t="s">
        <v>73</v>
      </c>
      <c r="C9" s="19" t="s">
        <v>53</v>
      </c>
      <c r="D9" s="19" t="s">
        <v>54</v>
      </c>
      <c r="E9" s="18" t="s">
        <v>55</v>
      </c>
      <c r="F9" s="20" t="n">
        <v>46327</v>
      </c>
      <c r="G9" s="20" t="n">
        <v>46402</v>
      </c>
      <c r="H9" s="19"/>
      <c r="I9" s="19" t="n">
        <v>0</v>
      </c>
      <c r="J9" s="19" t="s">
        <v>65</v>
      </c>
      <c r="K9" s="21" t="b">
        <f aca="false">TRUE()</f>
        <v>1</v>
      </c>
      <c r="L9" s="18" t="s">
        <v>74</v>
      </c>
    </row>
    <row r="10" customFormat="false" ht="15" hidden="false" customHeight="false" outlineLevel="0" collapsed="false">
      <c r="A10" s="17" t="n">
        <v>9</v>
      </c>
      <c r="B10" s="18" t="s">
        <v>75</v>
      </c>
      <c r="C10" s="19" t="s">
        <v>53</v>
      </c>
      <c r="D10" s="19" t="s">
        <v>54</v>
      </c>
      <c r="E10" s="18" t="s">
        <v>55</v>
      </c>
      <c r="F10" s="20" t="n">
        <v>46388</v>
      </c>
      <c r="G10" s="20" t="n">
        <v>46433</v>
      </c>
      <c r="H10" s="19"/>
      <c r="I10" s="19" t="n">
        <v>0</v>
      </c>
      <c r="J10" s="19" t="s">
        <v>65</v>
      </c>
      <c r="K10" s="21" t="b">
        <f aca="false">TRUE()</f>
        <v>1</v>
      </c>
      <c r="L10" s="18" t="s">
        <v>76</v>
      </c>
    </row>
    <row r="11" customFormat="false" ht="15" hidden="false" customHeight="false" outlineLevel="0" collapsed="false">
      <c r="A11" s="17" t="n">
        <v>10</v>
      </c>
      <c r="B11" s="18" t="s">
        <v>77</v>
      </c>
      <c r="C11" s="19" t="s">
        <v>53</v>
      </c>
      <c r="D11" s="19" t="s">
        <v>78</v>
      </c>
      <c r="E11" s="18" t="s">
        <v>55</v>
      </c>
      <c r="F11" s="19"/>
      <c r="G11" s="20" t="n">
        <v>46446</v>
      </c>
      <c r="H11" s="19"/>
      <c r="I11" s="19" t="n">
        <v>0</v>
      </c>
      <c r="J11" s="19" t="s">
        <v>65</v>
      </c>
      <c r="K11" s="21" t="b">
        <f aca="false">TRUE()</f>
        <v>1</v>
      </c>
      <c r="L11" s="18" t="s">
        <v>79</v>
      </c>
    </row>
    <row r="12" customFormat="false" ht="23.85" hidden="false" customHeight="false" outlineLevel="0" collapsed="false">
      <c r="A12" s="17" t="n">
        <v>11</v>
      </c>
      <c r="B12" s="18" t="s">
        <v>80</v>
      </c>
      <c r="C12" s="19" t="s">
        <v>53</v>
      </c>
      <c r="D12" s="19" t="s">
        <v>78</v>
      </c>
      <c r="E12" s="18" t="s">
        <v>55</v>
      </c>
      <c r="F12" s="19"/>
      <c r="G12" s="20" t="n">
        <v>46461</v>
      </c>
      <c r="H12" s="19"/>
      <c r="I12" s="19" t="n">
        <v>0</v>
      </c>
      <c r="J12" s="19" t="s">
        <v>65</v>
      </c>
      <c r="K12" s="21" t="b">
        <f aca="false">TRUE()</f>
        <v>1</v>
      </c>
      <c r="L12" s="18" t="s">
        <v>81</v>
      </c>
    </row>
    <row r="13" customFormat="false" ht="23.85" hidden="false" customHeight="false" outlineLevel="0" collapsed="false">
      <c r="A13" s="12" t="n">
        <v>12</v>
      </c>
      <c r="B13" s="13" t="s">
        <v>82</v>
      </c>
      <c r="C13" s="14" t="s">
        <v>53</v>
      </c>
      <c r="D13" s="14" t="s">
        <v>54</v>
      </c>
      <c r="E13" s="13" t="s">
        <v>83</v>
      </c>
      <c r="F13" s="15" t="n">
        <v>46113</v>
      </c>
      <c r="G13" s="15" t="n">
        <v>46173</v>
      </c>
      <c r="H13" s="14"/>
      <c r="I13" s="14" t="n">
        <v>30</v>
      </c>
      <c r="J13" s="14" t="s">
        <v>60</v>
      </c>
      <c r="K13" s="16" t="b">
        <f aca="false">TRUE()</f>
        <v>1</v>
      </c>
      <c r="L13" s="13" t="s">
        <v>84</v>
      </c>
    </row>
    <row r="14" customFormat="false" ht="15" hidden="false" customHeight="false" outlineLevel="0" collapsed="false">
      <c r="A14" s="17" t="n">
        <v>13</v>
      </c>
      <c r="B14" s="18" t="s">
        <v>85</v>
      </c>
      <c r="C14" s="19" t="s">
        <v>53</v>
      </c>
      <c r="D14" s="19" t="s">
        <v>59</v>
      </c>
      <c r="E14" s="18" t="s">
        <v>83</v>
      </c>
      <c r="F14" s="20" t="n">
        <v>46143</v>
      </c>
      <c r="G14" s="20" t="n">
        <v>46234</v>
      </c>
      <c r="H14" s="19"/>
      <c r="I14" s="19" t="n">
        <v>0</v>
      </c>
      <c r="J14" s="19" t="s">
        <v>65</v>
      </c>
      <c r="K14" s="21" t="b">
        <f aca="false">TRUE()</f>
        <v>1</v>
      </c>
      <c r="L14" s="18" t="s">
        <v>86</v>
      </c>
    </row>
    <row r="15" customFormat="false" ht="15" hidden="false" customHeight="false" outlineLevel="0" collapsed="false">
      <c r="A15" s="17" t="n">
        <v>14</v>
      </c>
      <c r="B15" s="18" t="s">
        <v>87</v>
      </c>
      <c r="C15" s="19" t="s">
        <v>53</v>
      </c>
      <c r="D15" s="19" t="s">
        <v>54</v>
      </c>
      <c r="E15" s="18" t="s">
        <v>83</v>
      </c>
      <c r="F15" s="20" t="n">
        <v>46143</v>
      </c>
      <c r="G15" s="20" t="n">
        <v>46234</v>
      </c>
      <c r="H15" s="19"/>
      <c r="I15" s="19" t="n">
        <v>0</v>
      </c>
      <c r="J15" s="19" t="s">
        <v>65</v>
      </c>
      <c r="K15" s="21" t="b">
        <f aca="false">TRUE()</f>
        <v>1</v>
      </c>
      <c r="L15" s="18" t="s">
        <v>88</v>
      </c>
    </row>
    <row r="16" customFormat="false" ht="23.85" hidden="false" customHeight="false" outlineLevel="0" collapsed="false">
      <c r="A16" s="17" t="n">
        <v>15</v>
      </c>
      <c r="B16" s="18" t="s">
        <v>89</v>
      </c>
      <c r="C16" s="19" t="s">
        <v>53</v>
      </c>
      <c r="D16" s="19" t="s">
        <v>54</v>
      </c>
      <c r="E16" s="18" t="s">
        <v>83</v>
      </c>
      <c r="F16" s="20" t="n">
        <v>46371</v>
      </c>
      <c r="G16" s="20" t="n">
        <v>46433</v>
      </c>
      <c r="H16" s="19"/>
      <c r="I16" s="19" t="n">
        <v>0</v>
      </c>
      <c r="J16" s="19" t="s">
        <v>65</v>
      </c>
      <c r="K16" s="21" t="b">
        <f aca="false">TRUE()</f>
        <v>1</v>
      </c>
      <c r="L16" s="18" t="s">
        <v>90</v>
      </c>
    </row>
    <row r="17" customFormat="false" ht="15" hidden="false" customHeight="false" outlineLevel="0" collapsed="false">
      <c r="A17" s="17" t="n">
        <v>16</v>
      </c>
      <c r="B17" s="18" t="s">
        <v>91</v>
      </c>
      <c r="C17" s="19" t="s">
        <v>53</v>
      </c>
      <c r="D17" s="19" t="s">
        <v>54</v>
      </c>
      <c r="E17" s="18" t="s">
        <v>83</v>
      </c>
      <c r="F17" s="20" t="n">
        <v>46371</v>
      </c>
      <c r="G17" s="20" t="n">
        <v>46433</v>
      </c>
      <c r="H17" s="19"/>
      <c r="I17" s="19" t="n">
        <v>0</v>
      </c>
      <c r="J17" s="19" t="s">
        <v>65</v>
      </c>
      <c r="K17" s="21" t="b">
        <f aca="false">TRUE()</f>
        <v>1</v>
      </c>
      <c r="L17" s="18" t="s">
        <v>92</v>
      </c>
    </row>
    <row r="18" customFormat="false" ht="15" hidden="false" customHeight="false" outlineLevel="0" collapsed="false">
      <c r="A18" s="17" t="n">
        <v>17</v>
      </c>
      <c r="B18" s="18" t="s">
        <v>93</v>
      </c>
      <c r="C18" s="19" t="s">
        <v>53</v>
      </c>
      <c r="D18" s="19" t="s">
        <v>54</v>
      </c>
      <c r="E18" s="18" t="s">
        <v>83</v>
      </c>
      <c r="F18" s="20" t="n">
        <v>46433</v>
      </c>
      <c r="G18" s="20" t="n">
        <v>46461</v>
      </c>
      <c r="H18" s="19"/>
      <c r="I18" s="19" t="n">
        <v>0</v>
      </c>
      <c r="J18" s="19" t="s">
        <v>65</v>
      </c>
      <c r="K18" s="21" t="b">
        <f aca="false">TRUE()</f>
        <v>1</v>
      </c>
      <c r="L18" s="18" t="s">
        <v>94</v>
      </c>
    </row>
    <row r="19" customFormat="false" ht="23.85" hidden="false" customHeight="false" outlineLevel="0" collapsed="false">
      <c r="A19" s="17" t="n">
        <v>18</v>
      </c>
      <c r="B19" s="18" t="s">
        <v>95</v>
      </c>
      <c r="C19" s="19" t="s">
        <v>53</v>
      </c>
      <c r="D19" s="19" t="s">
        <v>59</v>
      </c>
      <c r="E19" s="18" t="s">
        <v>83</v>
      </c>
      <c r="F19" s="20" t="n">
        <v>46204</v>
      </c>
      <c r="G19" s="20" t="n">
        <v>46265</v>
      </c>
      <c r="H19" s="19"/>
      <c r="I19" s="19" t="n">
        <v>0</v>
      </c>
      <c r="J19" s="19" t="s">
        <v>65</v>
      </c>
      <c r="K19" s="21" t="b">
        <f aca="false">TRUE()</f>
        <v>1</v>
      </c>
      <c r="L19" s="18" t="s">
        <v>96</v>
      </c>
    </row>
    <row r="20" customFormat="false" ht="15" hidden="false" customHeight="false" outlineLevel="0" collapsed="false">
      <c r="A20" s="17" t="n">
        <v>19</v>
      </c>
      <c r="B20" s="18" t="s">
        <v>97</v>
      </c>
      <c r="C20" s="19" t="s">
        <v>53</v>
      </c>
      <c r="D20" s="19" t="s">
        <v>78</v>
      </c>
      <c r="E20" s="18" t="s">
        <v>83</v>
      </c>
      <c r="F20" s="19"/>
      <c r="G20" s="20" t="n">
        <v>46461</v>
      </c>
      <c r="H20" s="19"/>
      <c r="I20" s="19" t="n">
        <v>0</v>
      </c>
      <c r="J20" s="19" t="s">
        <v>65</v>
      </c>
      <c r="K20" s="21" t="b">
        <f aca="false">TRUE()</f>
        <v>1</v>
      </c>
      <c r="L20" s="18" t="s">
        <v>98</v>
      </c>
    </row>
    <row r="21" customFormat="false" ht="15" hidden="false" customHeight="false" outlineLevel="0" collapsed="false">
      <c r="A21" s="17" t="n">
        <v>20</v>
      </c>
      <c r="B21" s="18" t="s">
        <v>99</v>
      </c>
      <c r="C21" s="19" t="s">
        <v>53</v>
      </c>
      <c r="D21" s="19" t="s">
        <v>78</v>
      </c>
      <c r="E21" s="18" t="s">
        <v>83</v>
      </c>
      <c r="F21" s="19"/>
      <c r="G21" s="20" t="n">
        <v>46461</v>
      </c>
      <c r="H21" s="19"/>
      <c r="I21" s="19" t="n">
        <v>0</v>
      </c>
      <c r="J21" s="19" t="s">
        <v>65</v>
      </c>
      <c r="K21" s="21" t="b">
        <f aca="false">TRUE()</f>
        <v>1</v>
      </c>
      <c r="L21" s="18" t="s">
        <v>98</v>
      </c>
    </row>
    <row r="22" customFormat="false" ht="23.85" hidden="false" customHeight="false" outlineLevel="0" collapsed="false">
      <c r="A22" s="17" t="n">
        <v>21</v>
      </c>
      <c r="B22" s="18" t="s">
        <v>100</v>
      </c>
      <c r="C22" s="19" t="s">
        <v>53</v>
      </c>
      <c r="D22" s="19" t="s">
        <v>101</v>
      </c>
      <c r="E22" s="18" t="s">
        <v>83</v>
      </c>
      <c r="F22" s="19"/>
      <c r="G22" s="20" t="n">
        <v>46477</v>
      </c>
      <c r="H22" s="19"/>
      <c r="I22" s="19" t="n">
        <v>0</v>
      </c>
      <c r="J22" s="19" t="s">
        <v>65</v>
      </c>
      <c r="K22" s="21" t="b">
        <f aca="false">TRUE()</f>
        <v>1</v>
      </c>
      <c r="L22" s="18" t="s">
        <v>102</v>
      </c>
    </row>
    <row r="23" customFormat="false" ht="15" hidden="false" customHeight="false" outlineLevel="0" collapsed="false">
      <c r="A23" s="12" t="n">
        <v>22</v>
      </c>
      <c r="B23" s="13" t="s">
        <v>103</v>
      </c>
      <c r="C23" s="14" t="s">
        <v>53</v>
      </c>
      <c r="D23" s="14" t="s">
        <v>54</v>
      </c>
      <c r="E23" s="13" t="s">
        <v>104</v>
      </c>
      <c r="F23" s="15" t="n">
        <v>46113</v>
      </c>
      <c r="G23" s="15" t="n">
        <v>46142</v>
      </c>
      <c r="H23" s="14"/>
      <c r="I23" s="14" t="n">
        <v>50</v>
      </c>
      <c r="J23" s="14" t="s">
        <v>60</v>
      </c>
      <c r="K23" s="16" t="b">
        <f aca="false">TRUE()</f>
        <v>1</v>
      </c>
      <c r="L23" s="13" t="s">
        <v>105</v>
      </c>
    </row>
    <row r="24" customFormat="false" ht="15" hidden="false" customHeight="false" outlineLevel="0" collapsed="false">
      <c r="A24" s="17" t="n">
        <v>23</v>
      </c>
      <c r="B24" s="18" t="s">
        <v>106</v>
      </c>
      <c r="C24" s="19" t="s">
        <v>53</v>
      </c>
      <c r="D24" s="19" t="s">
        <v>59</v>
      </c>
      <c r="E24" s="18" t="s">
        <v>104</v>
      </c>
      <c r="F24" s="20" t="n">
        <v>46127</v>
      </c>
      <c r="G24" s="20" t="n">
        <v>46173</v>
      </c>
      <c r="H24" s="19"/>
      <c r="I24" s="19" t="n">
        <v>0</v>
      </c>
      <c r="J24" s="19" t="s">
        <v>65</v>
      </c>
      <c r="K24" s="21" t="b">
        <f aca="false">TRUE()</f>
        <v>1</v>
      </c>
      <c r="L24" s="18" t="s">
        <v>107</v>
      </c>
    </row>
    <row r="25" customFormat="false" ht="15" hidden="false" customHeight="false" outlineLevel="0" collapsed="false">
      <c r="A25" s="17" t="n">
        <v>24</v>
      </c>
      <c r="B25" s="18" t="s">
        <v>108</v>
      </c>
      <c r="C25" s="19" t="s">
        <v>53</v>
      </c>
      <c r="D25" s="19" t="s">
        <v>54</v>
      </c>
      <c r="E25" s="18" t="s">
        <v>104</v>
      </c>
      <c r="F25" s="20" t="n">
        <v>46143</v>
      </c>
      <c r="G25" s="20" t="n">
        <v>46203</v>
      </c>
      <c r="H25" s="19"/>
      <c r="I25" s="19" t="n">
        <v>0</v>
      </c>
      <c r="J25" s="19" t="s">
        <v>65</v>
      </c>
      <c r="K25" s="21" t="b">
        <f aca="false">TRUE()</f>
        <v>1</v>
      </c>
      <c r="L25" s="18" t="s">
        <v>109</v>
      </c>
    </row>
    <row r="26" customFormat="false" ht="23.85" hidden="false" customHeight="false" outlineLevel="0" collapsed="false">
      <c r="A26" s="17" t="n">
        <v>25</v>
      </c>
      <c r="B26" s="18" t="s">
        <v>110</v>
      </c>
      <c r="C26" s="19" t="s">
        <v>53</v>
      </c>
      <c r="D26" s="19" t="s">
        <v>59</v>
      </c>
      <c r="E26" s="18" t="s">
        <v>104</v>
      </c>
      <c r="F26" s="20" t="n">
        <v>46127</v>
      </c>
      <c r="G26" s="20" t="n">
        <v>46203</v>
      </c>
      <c r="H26" s="19"/>
      <c r="I26" s="19" t="n">
        <v>0</v>
      </c>
      <c r="J26" s="19" t="s">
        <v>65</v>
      </c>
      <c r="K26" s="21" t="b">
        <f aca="false">TRUE()</f>
        <v>1</v>
      </c>
      <c r="L26" s="18" t="s">
        <v>111</v>
      </c>
    </row>
    <row r="27" customFormat="false" ht="23.85" hidden="false" customHeight="false" outlineLevel="0" collapsed="false">
      <c r="A27" s="17" t="n">
        <v>26</v>
      </c>
      <c r="B27" s="18" t="s">
        <v>112</v>
      </c>
      <c r="C27" s="19" t="s">
        <v>53</v>
      </c>
      <c r="D27" s="19" t="s">
        <v>54</v>
      </c>
      <c r="E27" s="18" t="s">
        <v>104</v>
      </c>
      <c r="F27" s="20" t="n">
        <v>46174</v>
      </c>
      <c r="G27" s="20" t="n">
        <v>46249</v>
      </c>
      <c r="H27" s="19"/>
      <c r="I27" s="19" t="n">
        <v>0</v>
      </c>
      <c r="J27" s="19" t="s">
        <v>65</v>
      </c>
      <c r="K27" s="21" t="b">
        <f aca="false">TRUE()</f>
        <v>1</v>
      </c>
      <c r="L27" s="18" t="s">
        <v>113</v>
      </c>
    </row>
    <row r="28" customFormat="false" ht="15" hidden="false" customHeight="false" outlineLevel="0" collapsed="false">
      <c r="A28" s="17" t="n">
        <v>27</v>
      </c>
      <c r="B28" s="18" t="s">
        <v>114</v>
      </c>
      <c r="C28" s="19" t="s">
        <v>53</v>
      </c>
      <c r="D28" s="19" t="s">
        <v>54</v>
      </c>
      <c r="E28" s="18" t="s">
        <v>104</v>
      </c>
      <c r="F28" s="20" t="n">
        <v>46235</v>
      </c>
      <c r="G28" s="20" t="n">
        <v>46295</v>
      </c>
      <c r="H28" s="19"/>
      <c r="I28" s="19" t="n">
        <v>0</v>
      </c>
      <c r="J28" s="19" t="s">
        <v>65</v>
      </c>
      <c r="K28" s="21" t="b">
        <f aca="false">TRUE()</f>
        <v>1</v>
      </c>
      <c r="L28" s="18" t="s">
        <v>115</v>
      </c>
    </row>
    <row r="29" customFormat="false" ht="15" hidden="false" customHeight="false" outlineLevel="0" collapsed="false">
      <c r="A29" s="17" t="n">
        <v>28</v>
      </c>
      <c r="B29" s="18" t="s">
        <v>116</v>
      </c>
      <c r="C29" s="19" t="s">
        <v>53</v>
      </c>
      <c r="D29" s="19" t="s">
        <v>59</v>
      </c>
      <c r="E29" s="18" t="s">
        <v>104</v>
      </c>
      <c r="F29" s="20" t="n">
        <v>46204</v>
      </c>
      <c r="G29" s="20" t="n">
        <v>46265</v>
      </c>
      <c r="H29" s="19"/>
      <c r="I29" s="19" t="n">
        <v>0</v>
      </c>
      <c r="J29" s="19" t="s">
        <v>65</v>
      </c>
      <c r="K29" s="21" t="b">
        <f aca="false">TRUE()</f>
        <v>1</v>
      </c>
      <c r="L29" s="18" t="s">
        <v>117</v>
      </c>
    </row>
    <row r="30" customFormat="false" ht="23.85" hidden="false" customHeight="false" outlineLevel="0" collapsed="false">
      <c r="A30" s="17" t="n">
        <v>29</v>
      </c>
      <c r="B30" s="18" t="s">
        <v>118</v>
      </c>
      <c r="C30" s="19" t="s">
        <v>53</v>
      </c>
      <c r="D30" s="19" t="s">
        <v>101</v>
      </c>
      <c r="E30" s="18" t="s">
        <v>104</v>
      </c>
      <c r="F30" s="19"/>
      <c r="G30" s="20" t="n">
        <v>46371</v>
      </c>
      <c r="H30" s="19"/>
      <c r="I30" s="19" t="n">
        <v>0</v>
      </c>
      <c r="J30" s="19" t="s">
        <v>65</v>
      </c>
      <c r="K30" s="21" t="b">
        <f aca="false">TRUE()</f>
        <v>1</v>
      </c>
      <c r="L30" s="18" t="s">
        <v>119</v>
      </c>
    </row>
    <row r="31" customFormat="false" ht="15" hidden="false" customHeight="false" outlineLevel="0" collapsed="false">
      <c r="A31" s="12" t="n">
        <v>30</v>
      </c>
      <c r="B31" s="13" t="s">
        <v>120</v>
      </c>
      <c r="C31" s="14" t="s">
        <v>53</v>
      </c>
      <c r="D31" s="14" t="s">
        <v>54</v>
      </c>
      <c r="E31" s="13" t="s">
        <v>121</v>
      </c>
      <c r="F31" s="15" t="n">
        <v>46113</v>
      </c>
      <c r="G31" s="15" t="n">
        <v>46142</v>
      </c>
      <c r="H31" s="14"/>
      <c r="I31" s="14" t="n">
        <v>50</v>
      </c>
      <c r="J31" s="14" t="s">
        <v>60</v>
      </c>
      <c r="K31" s="16" t="b">
        <f aca="false">TRUE()</f>
        <v>1</v>
      </c>
      <c r="L31" s="13" t="s">
        <v>122</v>
      </c>
    </row>
    <row r="32" customFormat="false" ht="15" hidden="false" customHeight="false" outlineLevel="0" collapsed="false">
      <c r="A32" s="17" t="n">
        <v>31</v>
      </c>
      <c r="B32" s="18" t="s">
        <v>123</v>
      </c>
      <c r="C32" s="19" t="s">
        <v>53</v>
      </c>
      <c r="D32" s="19" t="s">
        <v>59</v>
      </c>
      <c r="E32" s="18" t="s">
        <v>121</v>
      </c>
      <c r="F32" s="20" t="n">
        <v>46127</v>
      </c>
      <c r="G32" s="20" t="n">
        <v>46173</v>
      </c>
      <c r="H32" s="19"/>
      <c r="I32" s="19" t="n">
        <v>0</v>
      </c>
      <c r="J32" s="19" t="s">
        <v>65</v>
      </c>
      <c r="K32" s="21" t="b">
        <f aca="false">TRUE()</f>
        <v>1</v>
      </c>
      <c r="L32" s="18" t="s">
        <v>117</v>
      </c>
    </row>
    <row r="33" customFormat="false" ht="15" hidden="false" customHeight="false" outlineLevel="0" collapsed="false">
      <c r="A33" s="17" t="n">
        <v>32</v>
      </c>
      <c r="B33" s="18" t="s">
        <v>124</v>
      </c>
      <c r="C33" s="19" t="s">
        <v>53</v>
      </c>
      <c r="D33" s="19" t="s">
        <v>54</v>
      </c>
      <c r="E33" s="18" t="s">
        <v>121</v>
      </c>
      <c r="F33" s="20" t="n">
        <v>46143</v>
      </c>
      <c r="G33" s="20" t="n">
        <v>46203</v>
      </c>
      <c r="H33" s="19"/>
      <c r="I33" s="19" t="n">
        <v>0</v>
      </c>
      <c r="J33" s="19" t="s">
        <v>65</v>
      </c>
      <c r="K33" s="21" t="b">
        <f aca="false">TRUE()</f>
        <v>1</v>
      </c>
      <c r="L33" s="18" t="s">
        <v>125</v>
      </c>
    </row>
    <row r="34" customFormat="false" ht="23.85" hidden="false" customHeight="false" outlineLevel="0" collapsed="false">
      <c r="A34" s="17" t="n">
        <v>33</v>
      </c>
      <c r="B34" s="18" t="s">
        <v>126</v>
      </c>
      <c r="C34" s="19" t="s">
        <v>53</v>
      </c>
      <c r="D34" s="19" t="s">
        <v>59</v>
      </c>
      <c r="E34" s="18" t="s">
        <v>121</v>
      </c>
      <c r="F34" s="20" t="n">
        <v>46127</v>
      </c>
      <c r="G34" s="20" t="n">
        <v>46203</v>
      </c>
      <c r="H34" s="19"/>
      <c r="I34" s="19" t="n">
        <v>0</v>
      </c>
      <c r="J34" s="19" t="s">
        <v>65</v>
      </c>
      <c r="K34" s="21" t="b">
        <f aca="false">TRUE()</f>
        <v>1</v>
      </c>
      <c r="L34" s="18" t="s">
        <v>111</v>
      </c>
    </row>
    <row r="35" customFormat="false" ht="15" hidden="false" customHeight="false" outlineLevel="0" collapsed="false">
      <c r="A35" s="17" t="n">
        <v>34</v>
      </c>
      <c r="B35" s="18" t="s">
        <v>127</v>
      </c>
      <c r="C35" s="19" t="s">
        <v>53</v>
      </c>
      <c r="D35" s="19" t="s">
        <v>54</v>
      </c>
      <c r="E35" s="18" t="s">
        <v>121</v>
      </c>
      <c r="F35" s="20" t="n">
        <v>46174</v>
      </c>
      <c r="G35" s="20" t="n">
        <v>46249</v>
      </c>
      <c r="H35" s="19"/>
      <c r="I35" s="19" t="n">
        <v>0</v>
      </c>
      <c r="J35" s="19" t="s">
        <v>65</v>
      </c>
      <c r="K35" s="21" t="b">
        <f aca="false">TRUE()</f>
        <v>1</v>
      </c>
      <c r="L35" s="18" t="s">
        <v>128</v>
      </c>
    </row>
    <row r="36" customFormat="false" ht="15" hidden="false" customHeight="false" outlineLevel="0" collapsed="false">
      <c r="A36" s="17" t="n">
        <v>35</v>
      </c>
      <c r="B36" s="18" t="s">
        <v>129</v>
      </c>
      <c r="C36" s="19" t="s">
        <v>53</v>
      </c>
      <c r="D36" s="19" t="s">
        <v>54</v>
      </c>
      <c r="E36" s="18" t="s">
        <v>121</v>
      </c>
      <c r="F36" s="20" t="n">
        <v>46235</v>
      </c>
      <c r="G36" s="20" t="n">
        <v>46295</v>
      </c>
      <c r="H36" s="19"/>
      <c r="I36" s="19" t="n">
        <v>0</v>
      </c>
      <c r="J36" s="19" t="s">
        <v>65</v>
      </c>
      <c r="K36" s="21" t="b">
        <f aca="false">TRUE()</f>
        <v>1</v>
      </c>
      <c r="L36" s="18" t="s">
        <v>130</v>
      </c>
    </row>
    <row r="37" customFormat="false" ht="15" hidden="false" customHeight="false" outlineLevel="0" collapsed="false">
      <c r="A37" s="17" t="n">
        <v>36</v>
      </c>
      <c r="B37" s="18" t="s">
        <v>131</v>
      </c>
      <c r="C37" s="19" t="s">
        <v>53</v>
      </c>
      <c r="D37" s="19" t="s">
        <v>59</v>
      </c>
      <c r="E37" s="18" t="s">
        <v>121</v>
      </c>
      <c r="F37" s="20" t="n">
        <v>46204</v>
      </c>
      <c r="G37" s="20" t="n">
        <v>46265</v>
      </c>
      <c r="H37" s="19"/>
      <c r="I37" s="19" t="n">
        <v>0</v>
      </c>
      <c r="J37" s="19" t="s">
        <v>65</v>
      </c>
      <c r="K37" s="21" t="b">
        <f aca="false">TRUE()</f>
        <v>1</v>
      </c>
      <c r="L37" s="18" t="s">
        <v>117</v>
      </c>
    </row>
    <row r="38" customFormat="false" ht="15" hidden="false" customHeight="false" outlineLevel="0" collapsed="false">
      <c r="A38" s="17" t="n">
        <v>37</v>
      </c>
      <c r="B38" s="18" t="s">
        <v>132</v>
      </c>
      <c r="C38" s="19" t="s">
        <v>53</v>
      </c>
      <c r="D38" s="19" t="s">
        <v>101</v>
      </c>
      <c r="E38" s="18" t="s">
        <v>121</v>
      </c>
      <c r="F38" s="19"/>
      <c r="G38" s="20" t="n">
        <v>46371</v>
      </c>
      <c r="H38" s="19"/>
      <c r="I38" s="19" t="n">
        <v>0</v>
      </c>
      <c r="J38" s="19" t="s">
        <v>65</v>
      </c>
      <c r="K38" s="21" t="b">
        <f aca="false">TRUE()</f>
        <v>1</v>
      </c>
      <c r="L38" s="18" t="s">
        <v>133</v>
      </c>
    </row>
    <row r="39" customFormat="false" ht="35.05" hidden="false" customHeight="false" outlineLevel="0" collapsed="false">
      <c r="A39" s="17" t="n">
        <v>38</v>
      </c>
      <c r="B39" s="18" t="s">
        <v>134</v>
      </c>
      <c r="C39" s="19" t="s">
        <v>53</v>
      </c>
      <c r="D39" s="19" t="s">
        <v>54</v>
      </c>
      <c r="E39" s="18" t="s">
        <v>135</v>
      </c>
      <c r="F39" s="20" t="n">
        <v>46204</v>
      </c>
      <c r="G39" s="20" t="n">
        <v>46295</v>
      </c>
      <c r="H39" s="19"/>
      <c r="I39" s="19" t="n">
        <v>0</v>
      </c>
      <c r="J39" s="19" t="s">
        <v>65</v>
      </c>
      <c r="K39" s="21" t="b">
        <f aca="false">TRUE()</f>
        <v>1</v>
      </c>
      <c r="L39" s="18" t="s">
        <v>136</v>
      </c>
    </row>
    <row r="40" customFormat="false" ht="15" hidden="false" customHeight="false" outlineLevel="0" collapsed="false">
      <c r="A40" s="17" t="n">
        <v>39</v>
      </c>
      <c r="B40" s="18" t="s">
        <v>137</v>
      </c>
      <c r="C40" s="19" t="s">
        <v>53</v>
      </c>
      <c r="D40" s="19" t="s">
        <v>59</v>
      </c>
      <c r="E40" s="18" t="s">
        <v>135</v>
      </c>
      <c r="F40" s="20" t="n">
        <v>46296</v>
      </c>
      <c r="G40" s="20" t="n">
        <v>46356</v>
      </c>
      <c r="H40" s="19"/>
      <c r="I40" s="19" t="n">
        <v>0</v>
      </c>
      <c r="J40" s="19" t="s">
        <v>65</v>
      </c>
      <c r="K40" s="21" t="b">
        <f aca="false">TRUE()</f>
        <v>1</v>
      </c>
      <c r="L40" s="18" t="s">
        <v>98</v>
      </c>
    </row>
    <row r="41" customFormat="false" ht="15" hidden="false" customHeight="false" outlineLevel="0" collapsed="false">
      <c r="A41" s="17" t="n">
        <v>40</v>
      </c>
      <c r="B41" s="18" t="s">
        <v>138</v>
      </c>
      <c r="C41" s="19" t="s">
        <v>53</v>
      </c>
      <c r="D41" s="19" t="s">
        <v>54</v>
      </c>
      <c r="E41" s="18" t="s">
        <v>135</v>
      </c>
      <c r="F41" s="20" t="n">
        <v>46341</v>
      </c>
      <c r="G41" s="20" t="n">
        <v>46387</v>
      </c>
      <c r="H41" s="19"/>
      <c r="I41" s="19" t="n">
        <v>0</v>
      </c>
      <c r="J41" s="19" t="s">
        <v>65</v>
      </c>
      <c r="K41" s="21" t="b">
        <f aca="false">TRUE()</f>
        <v>1</v>
      </c>
      <c r="L41" s="18" t="s">
        <v>98</v>
      </c>
    </row>
    <row r="42" customFormat="false" ht="15" hidden="false" customHeight="false" outlineLevel="0" collapsed="false">
      <c r="A42" s="17" t="n">
        <v>41</v>
      </c>
      <c r="B42" s="18" t="s">
        <v>139</v>
      </c>
      <c r="C42" s="19" t="s">
        <v>53</v>
      </c>
      <c r="D42" s="19" t="s">
        <v>54</v>
      </c>
      <c r="E42" s="18" t="s">
        <v>135</v>
      </c>
      <c r="F42" s="20" t="n">
        <v>46371</v>
      </c>
      <c r="G42" s="20" t="n">
        <v>46418</v>
      </c>
      <c r="H42" s="19"/>
      <c r="I42" s="19" t="n">
        <v>0</v>
      </c>
      <c r="J42" s="19" t="s">
        <v>65</v>
      </c>
      <c r="K42" s="21" t="b">
        <f aca="false">TRUE()</f>
        <v>1</v>
      </c>
      <c r="L42" s="18" t="s">
        <v>98</v>
      </c>
    </row>
    <row r="43" customFormat="false" ht="15" hidden="false" customHeight="false" outlineLevel="0" collapsed="false">
      <c r="A43" s="17" t="n">
        <v>42</v>
      </c>
      <c r="B43" s="18" t="s">
        <v>140</v>
      </c>
      <c r="C43" s="19" t="s">
        <v>53</v>
      </c>
      <c r="D43" s="19" t="s">
        <v>101</v>
      </c>
      <c r="E43" s="18" t="s">
        <v>135</v>
      </c>
      <c r="F43" s="19"/>
      <c r="G43" s="20" t="n">
        <v>46418</v>
      </c>
      <c r="H43" s="19"/>
      <c r="I43" s="19" t="n">
        <v>0</v>
      </c>
      <c r="J43" s="19" t="s">
        <v>65</v>
      </c>
      <c r="K43" s="21" t="b">
        <f aca="false">TRUE()</f>
        <v>1</v>
      </c>
      <c r="L43" s="18" t="s">
        <v>141</v>
      </c>
    </row>
    <row r="44" customFormat="false" ht="23.85" hidden="false" customHeight="false" outlineLevel="0" collapsed="false">
      <c r="A44" s="12" t="n">
        <v>43</v>
      </c>
      <c r="B44" s="13" t="s">
        <v>142</v>
      </c>
      <c r="C44" s="14" t="s">
        <v>53</v>
      </c>
      <c r="D44" s="14" t="s">
        <v>54</v>
      </c>
      <c r="E44" s="13" t="s">
        <v>143</v>
      </c>
      <c r="F44" s="15" t="n">
        <v>46082</v>
      </c>
      <c r="G44" s="15" t="n">
        <v>46142</v>
      </c>
      <c r="H44" s="14"/>
      <c r="I44" s="14" t="n">
        <v>50</v>
      </c>
      <c r="J44" s="14" t="s">
        <v>60</v>
      </c>
      <c r="K44" s="16" t="b">
        <f aca="false">TRUE()</f>
        <v>1</v>
      </c>
      <c r="L44" s="13" t="s">
        <v>144</v>
      </c>
    </row>
    <row r="45" customFormat="false" ht="35.05" hidden="false" customHeight="false" outlineLevel="0" collapsed="false">
      <c r="A45" s="17" t="n">
        <v>44</v>
      </c>
      <c r="B45" s="18" t="s">
        <v>145</v>
      </c>
      <c r="C45" s="19" t="s">
        <v>53</v>
      </c>
      <c r="D45" s="19" t="s">
        <v>59</v>
      </c>
      <c r="E45" s="18" t="s">
        <v>143</v>
      </c>
      <c r="F45" s="20" t="n">
        <v>46127</v>
      </c>
      <c r="G45" s="20" t="n">
        <v>46173</v>
      </c>
      <c r="H45" s="19"/>
      <c r="I45" s="19" t="n">
        <v>0</v>
      </c>
      <c r="J45" s="19" t="s">
        <v>65</v>
      </c>
      <c r="K45" s="21" t="b">
        <f aca="false">TRUE()</f>
        <v>1</v>
      </c>
      <c r="L45" s="18" t="s">
        <v>146</v>
      </c>
    </row>
    <row r="46" customFormat="false" ht="23.85" hidden="false" customHeight="false" outlineLevel="0" collapsed="false">
      <c r="A46" s="17" t="n">
        <v>45</v>
      </c>
      <c r="B46" s="18" t="s">
        <v>147</v>
      </c>
      <c r="C46" s="19" t="s">
        <v>53</v>
      </c>
      <c r="D46" s="19" t="s">
        <v>59</v>
      </c>
      <c r="E46" s="18" t="s">
        <v>143</v>
      </c>
      <c r="F46" s="20" t="n">
        <v>46174</v>
      </c>
      <c r="G46" s="20" t="n">
        <v>46265</v>
      </c>
      <c r="H46" s="19"/>
      <c r="I46" s="19" t="n">
        <v>0</v>
      </c>
      <c r="J46" s="19" t="s">
        <v>65</v>
      </c>
      <c r="K46" s="21" t="b">
        <f aca="false">TRUE()</f>
        <v>1</v>
      </c>
      <c r="L46" s="18" t="s">
        <v>148</v>
      </c>
    </row>
    <row r="47" customFormat="false" ht="23.85" hidden="false" customHeight="false" outlineLevel="0" collapsed="false">
      <c r="A47" s="17" t="n">
        <v>46</v>
      </c>
      <c r="B47" s="18" t="s">
        <v>149</v>
      </c>
      <c r="C47" s="19" t="s">
        <v>53</v>
      </c>
      <c r="D47" s="19" t="s">
        <v>78</v>
      </c>
      <c r="E47" s="18" t="s">
        <v>143</v>
      </c>
      <c r="F47" s="19"/>
      <c r="G47" s="20" t="n">
        <v>46280</v>
      </c>
      <c r="H47" s="19"/>
      <c r="I47" s="19" t="n">
        <v>0</v>
      </c>
      <c r="J47" s="19" t="s">
        <v>65</v>
      </c>
      <c r="K47" s="21" t="b">
        <f aca="false">TRUE()</f>
        <v>1</v>
      </c>
      <c r="L47" s="18" t="s">
        <v>150</v>
      </c>
    </row>
    <row r="48" customFormat="false" ht="15" hidden="false" customHeight="false" outlineLevel="0" collapsed="false">
      <c r="A48" s="17" t="n">
        <v>47</v>
      </c>
      <c r="B48" s="18" t="s">
        <v>151</v>
      </c>
      <c r="C48" s="19" t="s">
        <v>53</v>
      </c>
      <c r="D48" s="19" t="s">
        <v>54</v>
      </c>
      <c r="E48" s="18" t="s">
        <v>152</v>
      </c>
      <c r="F48" s="20" t="n">
        <v>46174</v>
      </c>
      <c r="G48" s="20" t="n">
        <v>46234</v>
      </c>
      <c r="H48" s="19"/>
      <c r="I48" s="19" t="n">
        <v>0</v>
      </c>
      <c r="J48" s="19" t="s">
        <v>65</v>
      </c>
      <c r="K48" s="21" t="b">
        <f aca="false">TRUE()</f>
        <v>1</v>
      </c>
      <c r="L48" s="18" t="s">
        <v>153</v>
      </c>
    </row>
    <row r="49" customFormat="false" ht="15" hidden="false" customHeight="false" outlineLevel="0" collapsed="false">
      <c r="A49" s="17" t="n">
        <v>48</v>
      </c>
      <c r="B49" s="18" t="s">
        <v>154</v>
      </c>
      <c r="C49" s="19" t="s">
        <v>53</v>
      </c>
      <c r="D49" s="19" t="s">
        <v>59</v>
      </c>
      <c r="E49" s="18" t="s">
        <v>152</v>
      </c>
      <c r="F49" s="20" t="n">
        <v>46235</v>
      </c>
      <c r="G49" s="20" t="n">
        <v>46295</v>
      </c>
      <c r="H49" s="19"/>
      <c r="I49" s="19" t="n">
        <v>0</v>
      </c>
      <c r="J49" s="19" t="s">
        <v>65</v>
      </c>
      <c r="K49" s="21" t="b">
        <f aca="false">TRUE()</f>
        <v>1</v>
      </c>
      <c r="L49" s="18" t="s">
        <v>98</v>
      </c>
    </row>
    <row r="50" customFormat="false" ht="15" hidden="false" customHeight="false" outlineLevel="0" collapsed="false">
      <c r="A50" s="17" t="n">
        <v>49</v>
      </c>
      <c r="B50" s="18" t="s">
        <v>155</v>
      </c>
      <c r="C50" s="19" t="s">
        <v>53</v>
      </c>
      <c r="D50" s="19" t="s">
        <v>54</v>
      </c>
      <c r="E50" s="18" t="s">
        <v>152</v>
      </c>
      <c r="F50" s="20" t="n">
        <v>46296</v>
      </c>
      <c r="G50" s="20" t="n">
        <v>46387</v>
      </c>
      <c r="H50" s="19"/>
      <c r="I50" s="19" t="n">
        <v>0</v>
      </c>
      <c r="J50" s="19" t="s">
        <v>65</v>
      </c>
      <c r="K50" s="21" t="b">
        <f aca="false">TRUE()</f>
        <v>1</v>
      </c>
      <c r="L50" s="18" t="s">
        <v>98</v>
      </c>
    </row>
    <row r="51" customFormat="false" ht="15" hidden="false" customHeight="false" outlineLevel="0" collapsed="false">
      <c r="A51" s="17" t="n">
        <v>50</v>
      </c>
      <c r="B51" s="18" t="s">
        <v>156</v>
      </c>
      <c r="C51" s="19" t="s">
        <v>53</v>
      </c>
      <c r="D51" s="19" t="s">
        <v>78</v>
      </c>
      <c r="E51" s="18" t="s">
        <v>152</v>
      </c>
      <c r="F51" s="19"/>
      <c r="G51" s="20" t="n">
        <v>46402</v>
      </c>
      <c r="H51" s="19"/>
      <c r="I51" s="19" t="n">
        <v>0</v>
      </c>
      <c r="J51" s="19" t="s">
        <v>65</v>
      </c>
      <c r="K51" s="21" t="b">
        <f aca="false">TRUE()</f>
        <v>1</v>
      </c>
      <c r="L51" s="18" t="s">
        <v>98</v>
      </c>
    </row>
    <row r="52" customFormat="false" ht="23.85" hidden="false" customHeight="false" outlineLevel="0" collapsed="false">
      <c r="A52" s="7" t="n">
        <v>51</v>
      </c>
      <c r="B52" s="8" t="s">
        <v>157</v>
      </c>
      <c r="C52" s="9" t="s">
        <v>53</v>
      </c>
      <c r="D52" s="9" t="s">
        <v>54</v>
      </c>
      <c r="E52" s="8" t="s">
        <v>158</v>
      </c>
      <c r="F52" s="10" t="n">
        <v>45931</v>
      </c>
      <c r="G52" s="10" t="n">
        <v>45961</v>
      </c>
      <c r="H52" s="10" t="n">
        <v>45961</v>
      </c>
      <c r="I52" s="9" t="n">
        <v>100</v>
      </c>
      <c r="J52" s="9" t="s">
        <v>56</v>
      </c>
      <c r="K52" s="11" t="b">
        <f aca="false">TRUE()</f>
        <v>1</v>
      </c>
      <c r="L52" s="8" t="s">
        <v>159</v>
      </c>
    </row>
    <row r="53" customFormat="false" ht="23.85" hidden="false" customHeight="false" outlineLevel="0" collapsed="false">
      <c r="A53" s="7" t="n">
        <v>52</v>
      </c>
      <c r="B53" s="8" t="s">
        <v>160</v>
      </c>
      <c r="C53" s="9" t="s">
        <v>53</v>
      </c>
      <c r="D53" s="9" t="s">
        <v>59</v>
      </c>
      <c r="E53" s="8" t="s">
        <v>158</v>
      </c>
      <c r="F53" s="10" t="n">
        <v>45962</v>
      </c>
      <c r="G53" s="10" t="n">
        <v>46006</v>
      </c>
      <c r="H53" s="10" t="n">
        <v>46006</v>
      </c>
      <c r="I53" s="9" t="n">
        <v>100</v>
      </c>
      <c r="J53" s="9" t="s">
        <v>56</v>
      </c>
      <c r="K53" s="11" t="b">
        <f aca="false">TRUE()</f>
        <v>1</v>
      </c>
      <c r="L53" s="8" t="s">
        <v>161</v>
      </c>
    </row>
    <row r="54" customFormat="false" ht="15" hidden="false" customHeight="false" outlineLevel="0" collapsed="false">
      <c r="A54" s="7" t="n">
        <v>53</v>
      </c>
      <c r="B54" s="8" t="s">
        <v>162</v>
      </c>
      <c r="C54" s="9" t="s">
        <v>53</v>
      </c>
      <c r="D54" s="9" t="s">
        <v>54</v>
      </c>
      <c r="E54" s="8" t="s">
        <v>158</v>
      </c>
      <c r="F54" s="10" t="n">
        <v>45992</v>
      </c>
      <c r="G54" s="10" t="n">
        <v>46022</v>
      </c>
      <c r="H54" s="10" t="n">
        <v>46022</v>
      </c>
      <c r="I54" s="9" t="n">
        <v>100</v>
      </c>
      <c r="J54" s="9" t="s">
        <v>56</v>
      </c>
      <c r="K54" s="11" t="b">
        <f aca="false">TRUE()</f>
        <v>1</v>
      </c>
      <c r="L54" s="8" t="s">
        <v>163</v>
      </c>
    </row>
    <row r="55" customFormat="false" ht="23.85" hidden="false" customHeight="false" outlineLevel="0" collapsed="false">
      <c r="A55" s="12" t="n">
        <v>54</v>
      </c>
      <c r="B55" s="13" t="s">
        <v>164</v>
      </c>
      <c r="C55" s="14" t="s">
        <v>53</v>
      </c>
      <c r="D55" s="14" t="s">
        <v>54</v>
      </c>
      <c r="E55" s="13" t="s">
        <v>158</v>
      </c>
      <c r="F55" s="15" t="n">
        <v>46023</v>
      </c>
      <c r="G55" s="15" t="n">
        <v>46234</v>
      </c>
      <c r="H55" s="14"/>
      <c r="I55" s="14" t="n">
        <v>50</v>
      </c>
      <c r="J55" s="14" t="s">
        <v>60</v>
      </c>
      <c r="K55" s="16" t="b">
        <f aca="false">TRUE()</f>
        <v>1</v>
      </c>
      <c r="L55" s="13" t="s">
        <v>165</v>
      </c>
    </row>
    <row r="56" customFormat="false" ht="23.85" hidden="false" customHeight="false" outlineLevel="0" collapsed="false">
      <c r="A56" s="17" t="n">
        <v>55</v>
      </c>
      <c r="B56" s="18" t="s">
        <v>166</v>
      </c>
      <c r="C56" s="19" t="s">
        <v>53</v>
      </c>
      <c r="D56" s="19" t="s">
        <v>78</v>
      </c>
      <c r="E56" s="18" t="s">
        <v>158</v>
      </c>
      <c r="F56" s="19"/>
      <c r="G56" s="20" t="n">
        <v>46249</v>
      </c>
      <c r="H56" s="19"/>
      <c r="I56" s="19" t="n">
        <v>0</v>
      </c>
      <c r="J56" s="19" t="s">
        <v>65</v>
      </c>
      <c r="K56" s="21" t="b">
        <f aca="false">TRUE()</f>
        <v>1</v>
      </c>
      <c r="L56" s="18" t="s">
        <v>167</v>
      </c>
    </row>
    <row r="57" customFormat="false" ht="15" hidden="false" customHeight="false" outlineLevel="0" collapsed="false">
      <c r="A57" s="17" t="n">
        <v>56</v>
      </c>
      <c r="B57" s="18" t="s">
        <v>168</v>
      </c>
      <c r="C57" s="19" t="s">
        <v>53</v>
      </c>
      <c r="D57" s="19" t="s">
        <v>59</v>
      </c>
      <c r="E57" s="18" t="s">
        <v>158</v>
      </c>
      <c r="F57" s="20" t="n">
        <v>46296</v>
      </c>
      <c r="G57" s="20" t="n">
        <v>46356</v>
      </c>
      <c r="H57" s="19"/>
      <c r="I57" s="19" t="n">
        <v>0</v>
      </c>
      <c r="J57" s="19" t="s">
        <v>65</v>
      </c>
      <c r="K57" s="21" t="b">
        <f aca="false">TRUE()</f>
        <v>1</v>
      </c>
      <c r="L57" s="18" t="s">
        <v>169</v>
      </c>
    </row>
    <row r="58" customFormat="false" ht="15" hidden="false" customHeight="false" outlineLevel="0" collapsed="false">
      <c r="A58" s="17" t="n">
        <v>57</v>
      </c>
      <c r="B58" s="18" t="s">
        <v>170</v>
      </c>
      <c r="C58" s="19" t="s">
        <v>53</v>
      </c>
      <c r="D58" s="19" t="s">
        <v>54</v>
      </c>
      <c r="E58" s="18" t="s">
        <v>158</v>
      </c>
      <c r="F58" s="20" t="n">
        <v>46388</v>
      </c>
      <c r="G58" s="20" t="n">
        <v>46433</v>
      </c>
      <c r="H58" s="19"/>
      <c r="I58" s="19" t="n">
        <v>0</v>
      </c>
      <c r="J58" s="19" t="s">
        <v>65</v>
      </c>
      <c r="K58" s="21" t="b">
        <f aca="false">TRUE()</f>
        <v>1</v>
      </c>
      <c r="L58" s="18" t="s">
        <v>171</v>
      </c>
    </row>
    <row r="59" customFormat="false" ht="23.85" hidden="false" customHeight="false" outlineLevel="0" collapsed="false">
      <c r="A59" s="17" t="n">
        <v>58</v>
      </c>
      <c r="B59" s="18" t="s">
        <v>172</v>
      </c>
      <c r="C59" s="19" t="s">
        <v>53</v>
      </c>
      <c r="D59" s="19" t="s">
        <v>54</v>
      </c>
      <c r="E59" s="18" t="s">
        <v>158</v>
      </c>
      <c r="F59" s="20" t="n">
        <v>46357</v>
      </c>
      <c r="G59" s="20" t="n">
        <v>46433</v>
      </c>
      <c r="H59" s="19"/>
      <c r="I59" s="19" t="n">
        <v>0</v>
      </c>
      <c r="J59" s="19" t="s">
        <v>65</v>
      </c>
      <c r="K59" s="21" t="b">
        <f aca="false">TRUE()</f>
        <v>1</v>
      </c>
      <c r="L59" s="18" t="s">
        <v>173</v>
      </c>
    </row>
    <row r="60" customFormat="false" ht="15" hidden="false" customHeight="false" outlineLevel="0" collapsed="false">
      <c r="A60" s="17" t="n">
        <v>59</v>
      </c>
      <c r="B60" s="18" t="s">
        <v>174</v>
      </c>
      <c r="C60" s="19" t="s">
        <v>53</v>
      </c>
      <c r="D60" s="19" t="s">
        <v>54</v>
      </c>
      <c r="E60" s="18" t="s">
        <v>158</v>
      </c>
      <c r="F60" s="20" t="n">
        <v>46433</v>
      </c>
      <c r="G60" s="20" t="n">
        <v>46461</v>
      </c>
      <c r="H60" s="19"/>
      <c r="I60" s="19" t="n">
        <v>0</v>
      </c>
      <c r="J60" s="19" t="s">
        <v>65</v>
      </c>
      <c r="K60" s="21" t="b">
        <f aca="false">TRUE()</f>
        <v>1</v>
      </c>
      <c r="L60" s="18" t="s">
        <v>98</v>
      </c>
    </row>
    <row r="61" customFormat="false" ht="35.05" hidden="false" customHeight="false" outlineLevel="0" collapsed="false">
      <c r="A61" s="12" t="n">
        <v>60</v>
      </c>
      <c r="B61" s="13" t="s">
        <v>175</v>
      </c>
      <c r="C61" s="14" t="s">
        <v>53</v>
      </c>
      <c r="D61" s="14" t="s">
        <v>54</v>
      </c>
      <c r="E61" s="13" t="s">
        <v>176</v>
      </c>
      <c r="F61" s="15" t="n">
        <v>46129</v>
      </c>
      <c r="G61" s="15" t="n">
        <v>46203</v>
      </c>
      <c r="H61" s="14"/>
      <c r="I61" s="14" t="n">
        <v>30</v>
      </c>
      <c r="J61" s="14" t="s">
        <v>60</v>
      </c>
      <c r="K61" s="16" t="b">
        <f aca="false">TRUE()</f>
        <v>1</v>
      </c>
      <c r="L61" s="13" t="s">
        <v>177</v>
      </c>
    </row>
    <row r="62" customFormat="false" ht="23.85" hidden="false" customHeight="false" outlineLevel="0" collapsed="false">
      <c r="A62" s="17" t="n">
        <v>61</v>
      </c>
      <c r="B62" s="18" t="s">
        <v>178</v>
      </c>
      <c r="C62" s="19" t="s">
        <v>53</v>
      </c>
      <c r="D62" s="19" t="s">
        <v>59</v>
      </c>
      <c r="E62" s="18" t="s">
        <v>176</v>
      </c>
      <c r="F62" s="20" t="n">
        <v>46204</v>
      </c>
      <c r="G62" s="20" t="n">
        <v>46295</v>
      </c>
      <c r="H62" s="19"/>
      <c r="I62" s="19" t="n">
        <v>0</v>
      </c>
      <c r="J62" s="19" t="s">
        <v>65</v>
      </c>
      <c r="K62" s="21" t="b">
        <f aca="false">TRUE()</f>
        <v>1</v>
      </c>
      <c r="L62" s="18" t="s">
        <v>179</v>
      </c>
    </row>
    <row r="63" customFormat="false" ht="23.85" hidden="false" customHeight="false" outlineLevel="0" collapsed="false">
      <c r="A63" s="17" t="n">
        <v>62</v>
      </c>
      <c r="B63" s="18" t="s">
        <v>180</v>
      </c>
      <c r="C63" s="19" t="s">
        <v>53</v>
      </c>
      <c r="D63" s="19" t="s">
        <v>54</v>
      </c>
      <c r="E63" s="18" t="s">
        <v>176</v>
      </c>
      <c r="F63" s="20" t="n">
        <v>46266</v>
      </c>
      <c r="G63" s="20" t="n">
        <v>46356</v>
      </c>
      <c r="H63" s="19"/>
      <c r="I63" s="19" t="n">
        <v>0</v>
      </c>
      <c r="J63" s="19" t="s">
        <v>65</v>
      </c>
      <c r="K63" s="21" t="b">
        <f aca="false">TRUE()</f>
        <v>1</v>
      </c>
      <c r="L63" s="18" t="s">
        <v>181</v>
      </c>
    </row>
    <row r="64" customFormat="false" ht="15" hidden="false" customHeight="false" outlineLevel="0" collapsed="false">
      <c r="A64" s="17" t="n">
        <v>63</v>
      </c>
      <c r="B64" s="18" t="s">
        <v>182</v>
      </c>
      <c r="C64" s="19" t="s">
        <v>53</v>
      </c>
      <c r="D64" s="19" t="s">
        <v>54</v>
      </c>
      <c r="E64" s="18" t="s">
        <v>176</v>
      </c>
      <c r="F64" s="20" t="n">
        <v>46357</v>
      </c>
      <c r="G64" s="20" t="n">
        <v>46418</v>
      </c>
      <c r="H64" s="19"/>
      <c r="I64" s="19" t="n">
        <v>0</v>
      </c>
      <c r="J64" s="19" t="s">
        <v>65</v>
      </c>
      <c r="K64" s="21" t="b">
        <f aca="false">TRUE()</f>
        <v>1</v>
      </c>
      <c r="L64" s="18" t="s">
        <v>183</v>
      </c>
    </row>
    <row r="65" customFormat="false" ht="15" hidden="false" customHeight="false" outlineLevel="0" collapsed="false">
      <c r="A65" s="17" t="n">
        <v>64</v>
      </c>
      <c r="B65" s="18" t="s">
        <v>184</v>
      </c>
      <c r="C65" s="19" t="s">
        <v>53</v>
      </c>
      <c r="D65" s="19" t="s">
        <v>78</v>
      </c>
      <c r="E65" s="18" t="s">
        <v>176</v>
      </c>
      <c r="F65" s="19"/>
      <c r="G65" s="20" t="n">
        <v>46433</v>
      </c>
      <c r="H65" s="19"/>
      <c r="I65" s="19" t="n">
        <v>0</v>
      </c>
      <c r="J65" s="19" t="s">
        <v>65</v>
      </c>
      <c r="K65" s="21" t="b">
        <f aca="false">TRUE()</f>
        <v>1</v>
      </c>
      <c r="L65" s="18" t="s">
        <v>98</v>
      </c>
    </row>
    <row r="66" customFormat="false" ht="23.85" hidden="false" customHeight="false" outlineLevel="0" collapsed="false">
      <c r="A66" s="7" t="n">
        <v>65</v>
      </c>
      <c r="B66" s="8" t="s">
        <v>185</v>
      </c>
      <c r="C66" s="9" t="s">
        <v>186</v>
      </c>
      <c r="D66" s="9" t="s">
        <v>54</v>
      </c>
      <c r="E66" s="8" t="s">
        <v>187</v>
      </c>
      <c r="F66" s="10" t="n">
        <v>45444</v>
      </c>
      <c r="G66" s="10" t="n">
        <v>45535</v>
      </c>
      <c r="H66" s="10" t="n">
        <v>45535</v>
      </c>
      <c r="I66" s="9" t="n">
        <v>100</v>
      </c>
      <c r="J66" s="9" t="s">
        <v>56</v>
      </c>
      <c r="K66" s="11" t="b">
        <f aca="false">TRUE()</f>
        <v>1</v>
      </c>
      <c r="L66" s="8" t="s">
        <v>188</v>
      </c>
    </row>
    <row r="67" customFormat="false" ht="23.85" hidden="false" customHeight="false" outlineLevel="0" collapsed="false">
      <c r="A67" s="7" t="n">
        <v>66</v>
      </c>
      <c r="B67" s="8" t="s">
        <v>189</v>
      </c>
      <c r="C67" s="9" t="s">
        <v>186</v>
      </c>
      <c r="D67" s="9" t="s">
        <v>54</v>
      </c>
      <c r="E67" s="8" t="s">
        <v>187</v>
      </c>
      <c r="F67" s="10" t="n">
        <v>45536</v>
      </c>
      <c r="G67" s="10" t="n">
        <v>45657</v>
      </c>
      <c r="H67" s="10" t="n">
        <v>45657</v>
      </c>
      <c r="I67" s="9" t="n">
        <v>100</v>
      </c>
      <c r="J67" s="9" t="s">
        <v>56</v>
      </c>
      <c r="K67" s="11" t="b">
        <f aca="false">TRUE()</f>
        <v>1</v>
      </c>
      <c r="L67" s="8" t="s">
        <v>190</v>
      </c>
    </row>
    <row r="68" customFormat="false" ht="23.85" hidden="false" customHeight="false" outlineLevel="0" collapsed="false">
      <c r="A68" s="7" t="n">
        <v>67</v>
      </c>
      <c r="B68" s="8" t="s">
        <v>191</v>
      </c>
      <c r="C68" s="9" t="s">
        <v>186</v>
      </c>
      <c r="D68" s="9" t="s">
        <v>59</v>
      </c>
      <c r="E68" s="8" t="s">
        <v>187</v>
      </c>
      <c r="F68" s="10" t="n">
        <v>45658</v>
      </c>
      <c r="G68" s="10" t="n">
        <v>45838</v>
      </c>
      <c r="H68" s="10" t="n">
        <v>45838</v>
      </c>
      <c r="I68" s="9" t="n">
        <v>100</v>
      </c>
      <c r="J68" s="9" t="s">
        <v>56</v>
      </c>
      <c r="K68" s="11" t="b">
        <f aca="false">TRUE()</f>
        <v>1</v>
      </c>
      <c r="L68" s="8" t="s">
        <v>192</v>
      </c>
    </row>
    <row r="69" customFormat="false" ht="15" hidden="false" customHeight="false" outlineLevel="0" collapsed="false">
      <c r="A69" s="7" t="n">
        <v>68</v>
      </c>
      <c r="B69" s="8" t="s">
        <v>193</v>
      </c>
      <c r="C69" s="9" t="s">
        <v>186</v>
      </c>
      <c r="D69" s="9" t="s">
        <v>78</v>
      </c>
      <c r="E69" s="8" t="s">
        <v>187</v>
      </c>
      <c r="F69" s="9"/>
      <c r="G69" s="10" t="n">
        <v>45853</v>
      </c>
      <c r="H69" s="10" t="n">
        <v>45853</v>
      </c>
      <c r="I69" s="9" t="n">
        <v>100</v>
      </c>
      <c r="J69" s="9" t="s">
        <v>56</v>
      </c>
      <c r="K69" s="11" t="b">
        <f aca="false">TRUE()</f>
        <v>1</v>
      </c>
      <c r="L69" s="8" t="s">
        <v>194</v>
      </c>
    </row>
    <row r="70" customFormat="false" ht="23.85" hidden="false" customHeight="false" outlineLevel="0" collapsed="false">
      <c r="A70" s="7" t="n">
        <v>69</v>
      </c>
      <c r="B70" s="8" t="s">
        <v>195</v>
      </c>
      <c r="C70" s="9" t="s">
        <v>186</v>
      </c>
      <c r="D70" s="9" t="s">
        <v>54</v>
      </c>
      <c r="E70" s="8" t="s">
        <v>196</v>
      </c>
      <c r="F70" s="10" t="n">
        <v>46082</v>
      </c>
      <c r="G70" s="10" t="n">
        <v>46129</v>
      </c>
      <c r="H70" s="10" t="n">
        <v>46129</v>
      </c>
      <c r="I70" s="9" t="n">
        <v>100</v>
      </c>
      <c r="J70" s="9" t="s">
        <v>56</v>
      </c>
      <c r="K70" s="11" t="b">
        <f aca="false">TRUE()</f>
        <v>1</v>
      </c>
      <c r="L70" s="8" t="s">
        <v>197</v>
      </c>
    </row>
    <row r="71" customFormat="false" ht="15" hidden="false" customHeight="false" outlineLevel="0" collapsed="false">
      <c r="A71" s="12" t="n">
        <v>70</v>
      </c>
      <c r="B71" s="13" t="s">
        <v>198</v>
      </c>
      <c r="C71" s="14" t="s">
        <v>186</v>
      </c>
      <c r="D71" s="14" t="s">
        <v>59</v>
      </c>
      <c r="E71" s="13" t="s">
        <v>196</v>
      </c>
      <c r="F71" s="15" t="n">
        <v>46113</v>
      </c>
      <c r="G71" s="15" t="n">
        <v>46203</v>
      </c>
      <c r="H71" s="14"/>
      <c r="I71" s="14" t="n">
        <v>40</v>
      </c>
      <c r="J71" s="14" t="s">
        <v>60</v>
      </c>
      <c r="K71" s="16" t="b">
        <f aca="false">TRUE()</f>
        <v>1</v>
      </c>
      <c r="L71" s="13" t="s">
        <v>199</v>
      </c>
    </row>
    <row r="72" customFormat="false" ht="15" hidden="false" customHeight="false" outlineLevel="0" collapsed="false">
      <c r="A72" s="12" t="n">
        <v>71</v>
      </c>
      <c r="B72" s="13" t="s">
        <v>200</v>
      </c>
      <c r="C72" s="14" t="s">
        <v>186</v>
      </c>
      <c r="D72" s="14" t="s">
        <v>54</v>
      </c>
      <c r="E72" s="13" t="s">
        <v>196</v>
      </c>
      <c r="F72" s="15" t="n">
        <v>46113</v>
      </c>
      <c r="G72" s="15" t="n">
        <v>46173</v>
      </c>
      <c r="H72" s="14"/>
      <c r="I72" s="14" t="n">
        <v>60</v>
      </c>
      <c r="J72" s="14" t="s">
        <v>60</v>
      </c>
      <c r="K72" s="16" t="b">
        <f aca="false">TRUE()</f>
        <v>1</v>
      </c>
      <c r="L72" s="13" t="s">
        <v>201</v>
      </c>
    </row>
    <row r="73" customFormat="false" ht="15" hidden="false" customHeight="false" outlineLevel="0" collapsed="false">
      <c r="A73" s="17" t="n">
        <v>72</v>
      </c>
      <c r="B73" s="18" t="s">
        <v>202</v>
      </c>
      <c r="C73" s="19" t="s">
        <v>186</v>
      </c>
      <c r="D73" s="19" t="s">
        <v>54</v>
      </c>
      <c r="E73" s="18" t="s">
        <v>196</v>
      </c>
      <c r="F73" s="20" t="n">
        <v>46174</v>
      </c>
      <c r="G73" s="20" t="n">
        <v>46234</v>
      </c>
      <c r="H73" s="19"/>
      <c r="I73" s="19" t="n">
        <v>0</v>
      </c>
      <c r="J73" s="19" t="s">
        <v>65</v>
      </c>
      <c r="K73" s="21" t="b">
        <f aca="false">TRUE()</f>
        <v>1</v>
      </c>
      <c r="L73" s="18" t="s">
        <v>203</v>
      </c>
    </row>
    <row r="74" customFormat="false" ht="23.85" hidden="false" customHeight="false" outlineLevel="0" collapsed="false">
      <c r="A74" s="17" t="n">
        <v>73</v>
      </c>
      <c r="B74" s="18" t="s">
        <v>204</v>
      </c>
      <c r="C74" s="19" t="s">
        <v>186</v>
      </c>
      <c r="D74" s="19" t="s">
        <v>78</v>
      </c>
      <c r="E74" s="18" t="s">
        <v>196</v>
      </c>
      <c r="F74" s="19"/>
      <c r="G74" s="20" t="n">
        <v>46249</v>
      </c>
      <c r="H74" s="19"/>
      <c r="I74" s="19" t="n">
        <v>0</v>
      </c>
      <c r="J74" s="19" t="s">
        <v>65</v>
      </c>
      <c r="K74" s="21" t="b">
        <f aca="false">TRUE()</f>
        <v>1</v>
      </c>
      <c r="L74" s="18" t="s">
        <v>205</v>
      </c>
    </row>
    <row r="75" customFormat="false" ht="23.85" hidden="false" customHeight="false" outlineLevel="0" collapsed="false">
      <c r="A75" s="17" t="n">
        <v>74</v>
      </c>
      <c r="B75" s="18" t="s">
        <v>206</v>
      </c>
      <c r="C75" s="19" t="s">
        <v>186</v>
      </c>
      <c r="D75" s="19" t="s">
        <v>54</v>
      </c>
      <c r="E75" s="18" t="s">
        <v>207</v>
      </c>
      <c r="F75" s="20" t="n">
        <v>46204</v>
      </c>
      <c r="G75" s="20" t="n">
        <v>46265</v>
      </c>
      <c r="H75" s="19"/>
      <c r="I75" s="19" t="n">
        <v>0</v>
      </c>
      <c r="J75" s="19" t="s">
        <v>65</v>
      </c>
      <c r="K75" s="21" t="b">
        <f aca="false">TRUE()</f>
        <v>1</v>
      </c>
      <c r="L75" s="18" t="s">
        <v>98</v>
      </c>
    </row>
    <row r="76" customFormat="false" ht="15" hidden="false" customHeight="false" outlineLevel="0" collapsed="false">
      <c r="A76" s="17" t="n">
        <v>75</v>
      </c>
      <c r="B76" s="18" t="s">
        <v>208</v>
      </c>
      <c r="C76" s="19" t="s">
        <v>186</v>
      </c>
      <c r="D76" s="19" t="s">
        <v>59</v>
      </c>
      <c r="E76" s="18" t="s">
        <v>207</v>
      </c>
      <c r="F76" s="20" t="n">
        <v>46204</v>
      </c>
      <c r="G76" s="20" t="n">
        <v>46265</v>
      </c>
      <c r="H76" s="19"/>
      <c r="I76" s="19" t="n">
        <v>0</v>
      </c>
      <c r="J76" s="19" t="s">
        <v>65</v>
      </c>
      <c r="K76" s="21" t="b">
        <f aca="false">TRUE()</f>
        <v>1</v>
      </c>
      <c r="L76" s="18" t="s">
        <v>209</v>
      </c>
    </row>
    <row r="77" customFormat="false" ht="15" hidden="false" customHeight="false" outlineLevel="0" collapsed="false">
      <c r="A77" s="17" t="n">
        <v>76</v>
      </c>
      <c r="B77" s="18" t="s">
        <v>210</v>
      </c>
      <c r="C77" s="19" t="s">
        <v>186</v>
      </c>
      <c r="D77" s="19" t="s">
        <v>54</v>
      </c>
      <c r="E77" s="18" t="s">
        <v>207</v>
      </c>
      <c r="F77" s="20" t="n">
        <v>46266</v>
      </c>
      <c r="G77" s="20" t="n">
        <v>46356</v>
      </c>
      <c r="H77" s="19"/>
      <c r="I77" s="19" t="n">
        <v>0</v>
      </c>
      <c r="J77" s="19" t="s">
        <v>65</v>
      </c>
      <c r="K77" s="21" t="b">
        <f aca="false">TRUE()</f>
        <v>1</v>
      </c>
      <c r="L77" s="18" t="s">
        <v>98</v>
      </c>
    </row>
    <row r="78" customFormat="false" ht="23.85" hidden="false" customHeight="false" outlineLevel="0" collapsed="false">
      <c r="A78" s="17" t="n">
        <v>77</v>
      </c>
      <c r="B78" s="18" t="s">
        <v>211</v>
      </c>
      <c r="C78" s="19" t="s">
        <v>186</v>
      </c>
      <c r="D78" s="19" t="s">
        <v>59</v>
      </c>
      <c r="E78" s="18" t="s">
        <v>207</v>
      </c>
      <c r="F78" s="20" t="n">
        <v>46296</v>
      </c>
      <c r="G78" s="20" t="n">
        <v>46356</v>
      </c>
      <c r="H78" s="19"/>
      <c r="I78" s="19" t="n">
        <v>0</v>
      </c>
      <c r="J78" s="19" t="s">
        <v>65</v>
      </c>
      <c r="K78" s="21" t="b">
        <f aca="false">TRUE()</f>
        <v>1</v>
      </c>
      <c r="L78" s="18" t="s">
        <v>212</v>
      </c>
    </row>
    <row r="79" customFormat="false" ht="23.85" hidden="false" customHeight="false" outlineLevel="0" collapsed="false">
      <c r="A79" s="17" t="n">
        <v>78</v>
      </c>
      <c r="B79" s="18" t="s">
        <v>213</v>
      </c>
      <c r="C79" s="19" t="s">
        <v>186</v>
      </c>
      <c r="D79" s="19" t="s">
        <v>78</v>
      </c>
      <c r="E79" s="18" t="s">
        <v>207</v>
      </c>
      <c r="F79" s="19"/>
      <c r="G79" s="20" t="n">
        <v>46371</v>
      </c>
      <c r="H79" s="19"/>
      <c r="I79" s="19" t="n">
        <v>0</v>
      </c>
      <c r="J79" s="19" t="s">
        <v>65</v>
      </c>
      <c r="K79" s="21" t="b">
        <f aca="false">TRUE()</f>
        <v>1</v>
      </c>
      <c r="L79" s="18" t="s">
        <v>214</v>
      </c>
    </row>
    <row r="80" customFormat="false" ht="15" hidden="false" customHeight="false" outlineLevel="0" collapsed="false">
      <c r="A80" s="17" t="n">
        <v>79</v>
      </c>
      <c r="B80" s="18" t="s">
        <v>215</v>
      </c>
      <c r="C80" s="19" t="s">
        <v>186</v>
      </c>
      <c r="D80" s="19" t="s">
        <v>78</v>
      </c>
      <c r="E80" s="18" t="s">
        <v>207</v>
      </c>
      <c r="F80" s="19"/>
      <c r="G80" s="20" t="n">
        <v>46387</v>
      </c>
      <c r="H80" s="19"/>
      <c r="I80" s="19" t="n">
        <v>0</v>
      </c>
      <c r="J80" s="19" t="s">
        <v>65</v>
      </c>
      <c r="K80" s="21" t="b">
        <f aca="false">TRUE()</f>
        <v>1</v>
      </c>
      <c r="L80" s="18" t="s">
        <v>98</v>
      </c>
    </row>
    <row r="81" customFormat="false" ht="15" hidden="false" customHeight="false" outlineLevel="0" collapsed="false">
      <c r="A81" s="17" t="n">
        <v>80</v>
      </c>
      <c r="B81" s="18" t="s">
        <v>216</v>
      </c>
      <c r="C81" s="19" t="s">
        <v>186</v>
      </c>
      <c r="D81" s="19" t="s">
        <v>54</v>
      </c>
      <c r="E81" s="18" t="s">
        <v>217</v>
      </c>
      <c r="F81" s="20" t="n">
        <v>46388</v>
      </c>
      <c r="G81" s="20" t="n">
        <v>46446</v>
      </c>
      <c r="H81" s="19"/>
      <c r="I81" s="19" t="n">
        <v>0</v>
      </c>
      <c r="J81" s="19" t="s">
        <v>65</v>
      </c>
      <c r="K81" s="21" t="b">
        <f aca="false">TRUE()</f>
        <v>1</v>
      </c>
      <c r="L81" s="18" t="s">
        <v>218</v>
      </c>
    </row>
    <row r="82" customFormat="false" ht="15" hidden="false" customHeight="false" outlineLevel="0" collapsed="false">
      <c r="A82" s="17" t="n">
        <v>81</v>
      </c>
      <c r="B82" s="18" t="s">
        <v>219</v>
      </c>
      <c r="C82" s="19" t="s">
        <v>186</v>
      </c>
      <c r="D82" s="19" t="s">
        <v>59</v>
      </c>
      <c r="E82" s="18" t="s">
        <v>217</v>
      </c>
      <c r="F82" s="20" t="n">
        <v>46419</v>
      </c>
      <c r="G82" s="20" t="n">
        <v>46507</v>
      </c>
      <c r="H82" s="19"/>
      <c r="I82" s="19" t="n">
        <v>0</v>
      </c>
      <c r="J82" s="19" t="s">
        <v>65</v>
      </c>
      <c r="K82" s="21" t="b">
        <f aca="false">TRUE()</f>
        <v>1</v>
      </c>
      <c r="L82" s="18" t="s">
        <v>98</v>
      </c>
    </row>
    <row r="83" customFormat="false" ht="15" hidden="false" customHeight="false" outlineLevel="0" collapsed="false">
      <c r="A83" s="17" t="n">
        <v>82</v>
      </c>
      <c r="B83" s="18" t="s">
        <v>220</v>
      </c>
      <c r="C83" s="19" t="s">
        <v>186</v>
      </c>
      <c r="D83" s="19" t="s">
        <v>54</v>
      </c>
      <c r="E83" s="18" t="s">
        <v>217</v>
      </c>
      <c r="F83" s="20" t="n">
        <v>46447</v>
      </c>
      <c r="G83" s="20" t="n">
        <v>46568</v>
      </c>
      <c r="H83" s="19"/>
      <c r="I83" s="19" t="n">
        <v>0</v>
      </c>
      <c r="J83" s="19" t="s">
        <v>65</v>
      </c>
      <c r="K83" s="21" t="b">
        <f aca="false">TRUE()</f>
        <v>1</v>
      </c>
      <c r="L83" s="18" t="s">
        <v>98</v>
      </c>
    </row>
    <row r="84" customFormat="false" ht="15" hidden="false" customHeight="false" outlineLevel="0" collapsed="false">
      <c r="A84" s="17" t="n">
        <v>83</v>
      </c>
      <c r="B84" s="18" t="s">
        <v>221</v>
      </c>
      <c r="C84" s="19" t="s">
        <v>186</v>
      </c>
      <c r="D84" s="19" t="s">
        <v>54</v>
      </c>
      <c r="E84" s="18" t="s">
        <v>217</v>
      </c>
      <c r="F84" s="20" t="n">
        <v>46539</v>
      </c>
      <c r="G84" s="20" t="n">
        <v>46599</v>
      </c>
      <c r="H84" s="19"/>
      <c r="I84" s="19" t="n">
        <v>0</v>
      </c>
      <c r="J84" s="19" t="s">
        <v>65</v>
      </c>
      <c r="K84" s="21" t="b">
        <f aca="false">TRUE()</f>
        <v>1</v>
      </c>
      <c r="L84" s="18" t="s">
        <v>98</v>
      </c>
    </row>
    <row r="85" customFormat="false" ht="15" hidden="false" customHeight="false" outlineLevel="0" collapsed="false">
      <c r="A85" s="17" t="n">
        <v>84</v>
      </c>
      <c r="B85" s="18" t="s">
        <v>222</v>
      </c>
      <c r="C85" s="19" t="s">
        <v>186</v>
      </c>
      <c r="D85" s="19" t="s">
        <v>59</v>
      </c>
      <c r="E85" s="18" t="s">
        <v>217</v>
      </c>
      <c r="F85" s="20" t="n">
        <v>46508</v>
      </c>
      <c r="G85" s="20" t="n">
        <v>46568</v>
      </c>
      <c r="H85" s="19"/>
      <c r="I85" s="19" t="n">
        <v>0</v>
      </c>
      <c r="J85" s="19" t="s">
        <v>65</v>
      </c>
      <c r="K85" s="21" t="b">
        <f aca="false">TRUE()</f>
        <v>1</v>
      </c>
      <c r="L85" s="18" t="s">
        <v>223</v>
      </c>
    </row>
    <row r="86" customFormat="false" ht="15" hidden="false" customHeight="false" outlineLevel="0" collapsed="false">
      <c r="A86" s="17" t="n">
        <v>85</v>
      </c>
      <c r="B86" s="18" t="s">
        <v>224</v>
      </c>
      <c r="C86" s="19" t="s">
        <v>186</v>
      </c>
      <c r="D86" s="19" t="s">
        <v>78</v>
      </c>
      <c r="E86" s="18" t="s">
        <v>217</v>
      </c>
      <c r="F86" s="19"/>
      <c r="G86" s="20" t="n">
        <v>46614</v>
      </c>
      <c r="H86" s="19"/>
      <c r="I86" s="19" t="n">
        <v>0</v>
      </c>
      <c r="J86" s="19" t="s">
        <v>65</v>
      </c>
      <c r="K86" s="21" t="b">
        <f aca="false">TRUE()</f>
        <v>1</v>
      </c>
      <c r="L86" s="18" t="s">
        <v>98</v>
      </c>
    </row>
    <row r="87" customFormat="false" ht="15" hidden="false" customHeight="false" outlineLevel="0" collapsed="false">
      <c r="A87" s="17" t="n">
        <v>86</v>
      </c>
      <c r="B87" s="18" t="s">
        <v>225</v>
      </c>
      <c r="C87" s="19" t="s">
        <v>186</v>
      </c>
      <c r="D87" s="19" t="s">
        <v>54</v>
      </c>
      <c r="E87" s="18" t="s">
        <v>226</v>
      </c>
      <c r="F87" s="20" t="n">
        <v>46539</v>
      </c>
      <c r="G87" s="20" t="n">
        <v>46599</v>
      </c>
      <c r="H87" s="19"/>
      <c r="I87" s="19" t="n">
        <v>0</v>
      </c>
      <c r="J87" s="19" t="s">
        <v>65</v>
      </c>
      <c r="K87" s="21" t="b">
        <f aca="false">TRUE()</f>
        <v>1</v>
      </c>
      <c r="L87" s="18" t="s">
        <v>227</v>
      </c>
    </row>
    <row r="88" customFormat="false" ht="15" hidden="false" customHeight="false" outlineLevel="0" collapsed="false">
      <c r="A88" s="17" t="n">
        <v>87</v>
      </c>
      <c r="B88" s="18" t="s">
        <v>228</v>
      </c>
      <c r="C88" s="19" t="s">
        <v>186</v>
      </c>
      <c r="D88" s="19" t="s">
        <v>59</v>
      </c>
      <c r="E88" s="18" t="s">
        <v>226</v>
      </c>
      <c r="F88" s="20" t="n">
        <v>46569</v>
      </c>
      <c r="G88" s="20" t="n">
        <v>46630</v>
      </c>
      <c r="H88" s="19"/>
      <c r="I88" s="19" t="n">
        <v>0</v>
      </c>
      <c r="J88" s="19" t="s">
        <v>65</v>
      </c>
      <c r="K88" s="21" t="b">
        <f aca="false">TRUE()</f>
        <v>1</v>
      </c>
      <c r="L88" s="18" t="s">
        <v>98</v>
      </c>
    </row>
    <row r="89" customFormat="false" ht="15" hidden="false" customHeight="false" outlineLevel="0" collapsed="false">
      <c r="A89" s="17" t="n">
        <v>88</v>
      </c>
      <c r="B89" s="18" t="s">
        <v>229</v>
      </c>
      <c r="C89" s="19" t="s">
        <v>186</v>
      </c>
      <c r="D89" s="19" t="s">
        <v>54</v>
      </c>
      <c r="E89" s="18" t="s">
        <v>226</v>
      </c>
      <c r="F89" s="20" t="n">
        <v>46600</v>
      </c>
      <c r="G89" s="20" t="n">
        <v>46660</v>
      </c>
      <c r="H89" s="19"/>
      <c r="I89" s="19" t="n">
        <v>0</v>
      </c>
      <c r="J89" s="19" t="s">
        <v>65</v>
      </c>
      <c r="K89" s="21" t="b">
        <f aca="false">TRUE()</f>
        <v>1</v>
      </c>
      <c r="L89" s="18" t="s">
        <v>98</v>
      </c>
    </row>
    <row r="90" customFormat="false" ht="15" hidden="false" customHeight="false" outlineLevel="0" collapsed="false">
      <c r="A90" s="17" t="n">
        <v>89</v>
      </c>
      <c r="B90" s="18" t="s">
        <v>230</v>
      </c>
      <c r="C90" s="19" t="s">
        <v>186</v>
      </c>
      <c r="D90" s="19" t="s">
        <v>54</v>
      </c>
      <c r="E90" s="18" t="s">
        <v>226</v>
      </c>
      <c r="F90" s="20" t="n">
        <v>46614</v>
      </c>
      <c r="G90" s="20" t="n">
        <v>46675</v>
      </c>
      <c r="H90" s="19"/>
      <c r="I90" s="19" t="n">
        <v>0</v>
      </c>
      <c r="J90" s="19" t="s">
        <v>65</v>
      </c>
      <c r="K90" s="21" t="b">
        <f aca="false">TRUE()</f>
        <v>1</v>
      </c>
      <c r="L90" s="18" t="s">
        <v>98</v>
      </c>
    </row>
    <row r="91" customFormat="false" ht="15" hidden="false" customHeight="false" outlineLevel="0" collapsed="false">
      <c r="A91" s="17" t="n">
        <v>90</v>
      </c>
      <c r="B91" s="18" t="s">
        <v>231</v>
      </c>
      <c r="C91" s="19" t="s">
        <v>186</v>
      </c>
      <c r="D91" s="19" t="s">
        <v>59</v>
      </c>
      <c r="E91" s="18" t="s">
        <v>226</v>
      </c>
      <c r="F91" s="20" t="n">
        <v>46600</v>
      </c>
      <c r="G91" s="20" t="n">
        <v>46660</v>
      </c>
      <c r="H91" s="19"/>
      <c r="I91" s="19" t="n">
        <v>0</v>
      </c>
      <c r="J91" s="19" t="s">
        <v>65</v>
      </c>
      <c r="K91" s="21" t="b">
        <f aca="false">TRUE()</f>
        <v>1</v>
      </c>
      <c r="L91" s="18" t="s">
        <v>98</v>
      </c>
    </row>
    <row r="92" customFormat="false" ht="15" hidden="false" customHeight="false" outlineLevel="0" collapsed="false">
      <c r="A92" s="17" t="n">
        <v>91</v>
      </c>
      <c r="B92" s="18" t="s">
        <v>232</v>
      </c>
      <c r="C92" s="19" t="s">
        <v>186</v>
      </c>
      <c r="D92" s="19" t="s">
        <v>78</v>
      </c>
      <c r="E92" s="18" t="s">
        <v>226</v>
      </c>
      <c r="F92" s="19"/>
      <c r="G92" s="20" t="n">
        <v>46691</v>
      </c>
      <c r="H92" s="19"/>
      <c r="I92" s="19" t="n">
        <v>0</v>
      </c>
      <c r="J92" s="19" t="s">
        <v>65</v>
      </c>
      <c r="K92" s="21" t="b">
        <f aca="false">TRUE()</f>
        <v>1</v>
      </c>
      <c r="L92" s="18" t="s">
        <v>98</v>
      </c>
    </row>
    <row r="93" customFormat="false" ht="23.85" hidden="false" customHeight="false" outlineLevel="0" collapsed="false">
      <c r="A93" s="17" t="n">
        <v>92</v>
      </c>
      <c r="B93" s="18" t="s">
        <v>233</v>
      </c>
      <c r="C93" s="19" t="s">
        <v>186</v>
      </c>
      <c r="D93" s="19" t="s">
        <v>78</v>
      </c>
      <c r="E93" s="18" t="s">
        <v>226</v>
      </c>
      <c r="F93" s="19"/>
      <c r="G93" s="20" t="n">
        <v>46706</v>
      </c>
      <c r="H93" s="19"/>
      <c r="I93" s="19" t="n">
        <v>0</v>
      </c>
      <c r="J93" s="19" t="s">
        <v>65</v>
      </c>
      <c r="K93" s="21" t="b">
        <f aca="false">TRUE()</f>
        <v>1</v>
      </c>
      <c r="L93" s="18" t="s">
        <v>234</v>
      </c>
    </row>
    <row r="94" customFormat="false" ht="15" hidden="false" customHeight="false" outlineLevel="0" collapsed="false">
      <c r="A94" s="17" t="n">
        <v>93</v>
      </c>
      <c r="B94" s="18" t="s">
        <v>235</v>
      </c>
      <c r="C94" s="19" t="s">
        <v>186</v>
      </c>
      <c r="D94" s="19" t="s">
        <v>54</v>
      </c>
      <c r="E94" s="18" t="s">
        <v>236</v>
      </c>
      <c r="F94" s="20" t="n">
        <v>46692</v>
      </c>
      <c r="G94" s="20" t="n">
        <v>46736</v>
      </c>
      <c r="H94" s="19"/>
      <c r="I94" s="19" t="n">
        <v>0</v>
      </c>
      <c r="J94" s="19" t="s">
        <v>65</v>
      </c>
      <c r="K94" s="21" t="b">
        <f aca="false">TRUE()</f>
        <v>1</v>
      </c>
      <c r="L94" s="18" t="s">
        <v>237</v>
      </c>
    </row>
    <row r="95" customFormat="false" ht="15" hidden="false" customHeight="false" outlineLevel="0" collapsed="false">
      <c r="A95" s="17" t="n">
        <v>94</v>
      </c>
      <c r="B95" s="18" t="s">
        <v>238</v>
      </c>
      <c r="C95" s="19" t="s">
        <v>186</v>
      </c>
      <c r="D95" s="19" t="s">
        <v>59</v>
      </c>
      <c r="E95" s="18" t="s">
        <v>236</v>
      </c>
      <c r="F95" s="20" t="n">
        <v>46722</v>
      </c>
      <c r="G95" s="20" t="n">
        <v>46752</v>
      </c>
      <c r="H95" s="19"/>
      <c r="I95" s="19" t="n">
        <v>0</v>
      </c>
      <c r="J95" s="19" t="s">
        <v>65</v>
      </c>
      <c r="K95" s="21" t="b">
        <f aca="false">TRUE()</f>
        <v>1</v>
      </c>
      <c r="L95" s="18" t="s">
        <v>98</v>
      </c>
    </row>
    <row r="96" customFormat="false" ht="15" hidden="false" customHeight="false" outlineLevel="0" collapsed="false">
      <c r="A96" s="17" t="n">
        <v>95</v>
      </c>
      <c r="B96" s="18" t="s">
        <v>239</v>
      </c>
      <c r="C96" s="19" t="s">
        <v>186</v>
      </c>
      <c r="D96" s="19" t="s">
        <v>54</v>
      </c>
      <c r="E96" s="18" t="s">
        <v>236</v>
      </c>
      <c r="F96" s="20" t="n">
        <v>46753</v>
      </c>
      <c r="G96" s="20" t="n">
        <v>46812</v>
      </c>
      <c r="H96" s="19"/>
      <c r="I96" s="19" t="n">
        <v>0</v>
      </c>
      <c r="J96" s="19" t="s">
        <v>65</v>
      </c>
      <c r="K96" s="21" t="b">
        <f aca="false">TRUE()</f>
        <v>1</v>
      </c>
      <c r="L96" s="18" t="s">
        <v>98</v>
      </c>
    </row>
    <row r="97" customFormat="false" ht="15" hidden="false" customHeight="false" outlineLevel="0" collapsed="false">
      <c r="A97" s="17" t="n">
        <v>96</v>
      </c>
      <c r="B97" s="18" t="s">
        <v>240</v>
      </c>
      <c r="C97" s="19" t="s">
        <v>186</v>
      </c>
      <c r="D97" s="19" t="s">
        <v>78</v>
      </c>
      <c r="E97" s="18" t="s">
        <v>236</v>
      </c>
      <c r="F97" s="19"/>
      <c r="G97" s="20" t="n">
        <v>46827</v>
      </c>
      <c r="H97" s="19"/>
      <c r="I97" s="19" t="n">
        <v>0</v>
      </c>
      <c r="J97" s="19" t="s">
        <v>65</v>
      </c>
      <c r="K97" s="21" t="b">
        <f aca="false">TRUE()</f>
        <v>1</v>
      </c>
      <c r="L97" s="18" t="s">
        <v>98</v>
      </c>
    </row>
    <row r="98" customFormat="false" ht="15" hidden="false" customHeight="false" outlineLevel="0" collapsed="false">
      <c r="A98" s="12" t="n">
        <v>97</v>
      </c>
      <c r="B98" s="13" t="s">
        <v>241</v>
      </c>
      <c r="C98" s="14" t="s">
        <v>242</v>
      </c>
      <c r="D98" s="14" t="s">
        <v>54</v>
      </c>
      <c r="E98" s="13" t="s">
        <v>243</v>
      </c>
      <c r="F98" s="15" t="n">
        <v>46107</v>
      </c>
      <c r="G98" s="15" t="n">
        <v>46142</v>
      </c>
      <c r="H98" s="14"/>
      <c r="I98" s="14" t="n">
        <v>60</v>
      </c>
      <c r="J98" s="14" t="s">
        <v>60</v>
      </c>
      <c r="K98" s="16" t="b">
        <f aca="false">TRUE()</f>
        <v>1</v>
      </c>
      <c r="L98" s="13" t="s">
        <v>244</v>
      </c>
    </row>
    <row r="99" customFormat="false" ht="15" hidden="false" customHeight="false" outlineLevel="0" collapsed="false">
      <c r="A99" s="12" t="n">
        <v>98</v>
      </c>
      <c r="B99" s="13" t="s">
        <v>245</v>
      </c>
      <c r="C99" s="14" t="s">
        <v>242</v>
      </c>
      <c r="D99" s="14" t="s">
        <v>59</v>
      </c>
      <c r="E99" s="13" t="s">
        <v>243</v>
      </c>
      <c r="F99" s="15" t="n">
        <v>46127</v>
      </c>
      <c r="G99" s="15" t="n">
        <v>46188</v>
      </c>
      <c r="H99" s="14"/>
      <c r="I99" s="14" t="n">
        <v>20</v>
      </c>
      <c r="J99" s="14" t="s">
        <v>60</v>
      </c>
      <c r="K99" s="16" t="b">
        <f aca="false">TRUE()</f>
        <v>1</v>
      </c>
      <c r="L99" s="13" t="s">
        <v>201</v>
      </c>
    </row>
    <row r="100" customFormat="false" ht="35.05" hidden="false" customHeight="false" outlineLevel="0" collapsed="false">
      <c r="A100" s="17" t="n">
        <v>99</v>
      </c>
      <c r="B100" s="18" t="s">
        <v>246</v>
      </c>
      <c r="C100" s="19" t="s">
        <v>242</v>
      </c>
      <c r="D100" s="19" t="s">
        <v>59</v>
      </c>
      <c r="E100" s="18" t="s">
        <v>243</v>
      </c>
      <c r="F100" s="20" t="n">
        <v>46143</v>
      </c>
      <c r="G100" s="20" t="n">
        <v>46234</v>
      </c>
      <c r="H100" s="19"/>
      <c r="I100" s="19" t="n">
        <v>0</v>
      </c>
      <c r="J100" s="19" t="s">
        <v>65</v>
      </c>
      <c r="K100" s="21" t="b">
        <f aca="false">TRUE()</f>
        <v>1</v>
      </c>
      <c r="L100" s="18" t="s">
        <v>247</v>
      </c>
    </row>
    <row r="101" customFormat="false" ht="15" hidden="false" customHeight="false" outlineLevel="0" collapsed="false">
      <c r="A101" s="17" t="n">
        <v>100</v>
      </c>
      <c r="B101" s="18" t="s">
        <v>248</v>
      </c>
      <c r="C101" s="19" t="s">
        <v>242</v>
      </c>
      <c r="D101" s="19" t="s">
        <v>54</v>
      </c>
      <c r="E101" s="18" t="s">
        <v>243</v>
      </c>
      <c r="F101" s="20" t="n">
        <v>46143</v>
      </c>
      <c r="G101" s="20" t="n">
        <v>46234</v>
      </c>
      <c r="H101" s="19"/>
      <c r="I101" s="19" t="n">
        <v>0</v>
      </c>
      <c r="J101" s="19" t="s">
        <v>65</v>
      </c>
      <c r="K101" s="21" t="b">
        <f aca="false">TRUE()</f>
        <v>1</v>
      </c>
      <c r="L101" s="18" t="s">
        <v>98</v>
      </c>
    </row>
    <row r="102" customFormat="false" ht="15" hidden="false" customHeight="false" outlineLevel="0" collapsed="false">
      <c r="A102" s="17" t="n">
        <v>101</v>
      </c>
      <c r="B102" s="18" t="s">
        <v>249</v>
      </c>
      <c r="C102" s="19" t="s">
        <v>242</v>
      </c>
      <c r="D102" s="19" t="s">
        <v>54</v>
      </c>
      <c r="E102" s="18" t="s">
        <v>243</v>
      </c>
      <c r="F102" s="20" t="n">
        <v>46204</v>
      </c>
      <c r="G102" s="20" t="n">
        <v>46265</v>
      </c>
      <c r="H102" s="19"/>
      <c r="I102" s="19" t="n">
        <v>0</v>
      </c>
      <c r="J102" s="19" t="s">
        <v>65</v>
      </c>
      <c r="K102" s="21" t="b">
        <f aca="false">TRUE()</f>
        <v>1</v>
      </c>
      <c r="L102" s="18" t="s">
        <v>98</v>
      </c>
    </row>
    <row r="103" customFormat="false" ht="15" hidden="false" customHeight="false" outlineLevel="0" collapsed="false">
      <c r="A103" s="17" t="n">
        <v>102</v>
      </c>
      <c r="B103" s="18" t="s">
        <v>250</v>
      </c>
      <c r="C103" s="19" t="s">
        <v>242</v>
      </c>
      <c r="D103" s="19" t="s">
        <v>78</v>
      </c>
      <c r="E103" s="18" t="s">
        <v>243</v>
      </c>
      <c r="F103" s="19"/>
      <c r="G103" s="20" t="n">
        <v>46280</v>
      </c>
      <c r="H103" s="19"/>
      <c r="I103" s="19" t="n">
        <v>0</v>
      </c>
      <c r="J103" s="19" t="s">
        <v>65</v>
      </c>
      <c r="K103" s="21" t="b">
        <f aca="false">TRUE()</f>
        <v>1</v>
      </c>
      <c r="L103" s="18" t="s">
        <v>98</v>
      </c>
    </row>
    <row r="104" customFormat="false" ht="15" hidden="false" customHeight="false" outlineLevel="0" collapsed="false">
      <c r="A104" s="17" t="n">
        <v>103</v>
      </c>
      <c r="B104" s="18" t="s">
        <v>251</v>
      </c>
      <c r="C104" s="19" t="s">
        <v>242</v>
      </c>
      <c r="D104" s="19" t="s">
        <v>54</v>
      </c>
      <c r="E104" s="18" t="s">
        <v>252</v>
      </c>
      <c r="F104" s="20" t="n">
        <v>46204</v>
      </c>
      <c r="G104" s="20" t="n">
        <v>46265</v>
      </c>
      <c r="H104" s="19"/>
      <c r="I104" s="19" t="n">
        <v>0</v>
      </c>
      <c r="J104" s="19" t="s">
        <v>65</v>
      </c>
      <c r="K104" s="21" t="b">
        <f aca="false">TRUE()</f>
        <v>1</v>
      </c>
      <c r="L104" s="18" t="s">
        <v>98</v>
      </c>
    </row>
    <row r="105" customFormat="false" ht="15" hidden="false" customHeight="false" outlineLevel="0" collapsed="false">
      <c r="A105" s="17" t="n">
        <v>104</v>
      </c>
      <c r="B105" s="18" t="s">
        <v>253</v>
      </c>
      <c r="C105" s="19" t="s">
        <v>242</v>
      </c>
      <c r="D105" s="19" t="s">
        <v>59</v>
      </c>
      <c r="E105" s="18" t="s">
        <v>252</v>
      </c>
      <c r="F105" s="20" t="n">
        <v>46235</v>
      </c>
      <c r="G105" s="20" t="n">
        <v>46295</v>
      </c>
      <c r="H105" s="19"/>
      <c r="I105" s="19" t="n">
        <v>0</v>
      </c>
      <c r="J105" s="19" t="s">
        <v>65</v>
      </c>
      <c r="K105" s="21" t="b">
        <f aca="false">TRUE()</f>
        <v>1</v>
      </c>
      <c r="L105" s="18" t="s">
        <v>98</v>
      </c>
    </row>
    <row r="106" customFormat="false" ht="15" hidden="false" customHeight="false" outlineLevel="0" collapsed="false">
      <c r="A106" s="17" t="n">
        <v>105</v>
      </c>
      <c r="B106" s="18" t="s">
        <v>254</v>
      </c>
      <c r="C106" s="19" t="s">
        <v>242</v>
      </c>
      <c r="D106" s="19" t="s">
        <v>54</v>
      </c>
      <c r="E106" s="18" t="s">
        <v>252</v>
      </c>
      <c r="F106" s="20" t="n">
        <v>46280</v>
      </c>
      <c r="G106" s="20" t="n">
        <v>46341</v>
      </c>
      <c r="H106" s="19"/>
      <c r="I106" s="19" t="n">
        <v>0</v>
      </c>
      <c r="J106" s="19" t="s">
        <v>65</v>
      </c>
      <c r="K106" s="21" t="b">
        <f aca="false">TRUE()</f>
        <v>1</v>
      </c>
      <c r="L106" s="18" t="s">
        <v>98</v>
      </c>
    </row>
    <row r="107" customFormat="false" ht="15" hidden="false" customHeight="false" outlineLevel="0" collapsed="false">
      <c r="A107" s="17" t="n">
        <v>106</v>
      </c>
      <c r="B107" s="18" t="s">
        <v>255</v>
      </c>
      <c r="C107" s="19" t="s">
        <v>242</v>
      </c>
      <c r="D107" s="19" t="s">
        <v>54</v>
      </c>
      <c r="E107" s="18" t="s">
        <v>252</v>
      </c>
      <c r="F107" s="20" t="n">
        <v>46310</v>
      </c>
      <c r="G107" s="20" t="n">
        <v>46356</v>
      </c>
      <c r="H107" s="19"/>
      <c r="I107" s="19" t="n">
        <v>0</v>
      </c>
      <c r="J107" s="19" t="s">
        <v>65</v>
      </c>
      <c r="K107" s="21" t="b">
        <f aca="false">TRUE()</f>
        <v>1</v>
      </c>
      <c r="L107" s="18" t="s">
        <v>98</v>
      </c>
    </row>
    <row r="108" customFormat="false" ht="15" hidden="false" customHeight="false" outlineLevel="0" collapsed="false">
      <c r="A108" s="17" t="n">
        <v>107</v>
      </c>
      <c r="B108" s="18" t="s">
        <v>256</v>
      </c>
      <c r="C108" s="19" t="s">
        <v>242</v>
      </c>
      <c r="D108" s="19" t="s">
        <v>59</v>
      </c>
      <c r="E108" s="18" t="s">
        <v>252</v>
      </c>
      <c r="F108" s="20" t="n">
        <v>46266</v>
      </c>
      <c r="G108" s="20" t="n">
        <v>46310</v>
      </c>
      <c r="H108" s="19"/>
      <c r="I108" s="19" t="n">
        <v>0</v>
      </c>
      <c r="J108" s="19" t="s">
        <v>65</v>
      </c>
      <c r="K108" s="21" t="b">
        <f aca="false">TRUE()</f>
        <v>1</v>
      </c>
      <c r="L108" s="18" t="s">
        <v>257</v>
      </c>
    </row>
    <row r="109" customFormat="false" ht="15" hidden="false" customHeight="false" outlineLevel="0" collapsed="false">
      <c r="A109" s="17" t="n">
        <v>108</v>
      </c>
      <c r="B109" s="18" t="s">
        <v>258</v>
      </c>
      <c r="C109" s="19" t="s">
        <v>242</v>
      </c>
      <c r="D109" s="19" t="s">
        <v>78</v>
      </c>
      <c r="E109" s="18" t="s">
        <v>252</v>
      </c>
      <c r="F109" s="19"/>
      <c r="G109" s="20" t="n">
        <v>46371</v>
      </c>
      <c r="H109" s="19"/>
      <c r="I109" s="19" t="n">
        <v>0</v>
      </c>
      <c r="J109" s="19" t="s">
        <v>65</v>
      </c>
      <c r="K109" s="21" t="b">
        <f aca="false">TRUE()</f>
        <v>1</v>
      </c>
      <c r="L109" s="18" t="s">
        <v>98</v>
      </c>
    </row>
    <row r="110" customFormat="false" ht="15" hidden="false" customHeight="false" outlineLevel="0" collapsed="false">
      <c r="A110" s="17" t="n">
        <v>109</v>
      </c>
      <c r="B110" s="18" t="s">
        <v>259</v>
      </c>
      <c r="C110" s="19" t="s">
        <v>242</v>
      </c>
      <c r="D110" s="19" t="s">
        <v>54</v>
      </c>
      <c r="E110" s="18" t="s">
        <v>260</v>
      </c>
      <c r="F110" s="20" t="n">
        <v>46327</v>
      </c>
      <c r="G110" s="20" t="n">
        <v>46371</v>
      </c>
      <c r="H110" s="19"/>
      <c r="I110" s="19" t="n">
        <v>0</v>
      </c>
      <c r="J110" s="19" t="s">
        <v>65</v>
      </c>
      <c r="K110" s="21" t="b">
        <f aca="false">TRUE()</f>
        <v>1</v>
      </c>
      <c r="L110" s="18" t="s">
        <v>261</v>
      </c>
    </row>
    <row r="111" customFormat="false" ht="15" hidden="false" customHeight="false" outlineLevel="0" collapsed="false">
      <c r="A111" s="17" t="n">
        <v>110</v>
      </c>
      <c r="B111" s="18" t="s">
        <v>262</v>
      </c>
      <c r="C111" s="19" t="s">
        <v>242</v>
      </c>
      <c r="D111" s="19" t="s">
        <v>59</v>
      </c>
      <c r="E111" s="18" t="s">
        <v>260</v>
      </c>
      <c r="F111" s="20" t="n">
        <v>46327</v>
      </c>
      <c r="G111" s="20" t="n">
        <v>46387</v>
      </c>
      <c r="H111" s="19"/>
      <c r="I111" s="19" t="n">
        <v>0</v>
      </c>
      <c r="J111" s="19" t="s">
        <v>65</v>
      </c>
      <c r="K111" s="21" t="b">
        <f aca="false">TRUE()</f>
        <v>1</v>
      </c>
      <c r="L111" s="18" t="s">
        <v>98</v>
      </c>
    </row>
    <row r="112" customFormat="false" ht="15" hidden="false" customHeight="false" outlineLevel="0" collapsed="false">
      <c r="A112" s="17" t="n">
        <v>111</v>
      </c>
      <c r="B112" s="18" t="s">
        <v>263</v>
      </c>
      <c r="C112" s="19" t="s">
        <v>242</v>
      </c>
      <c r="D112" s="19" t="s">
        <v>54</v>
      </c>
      <c r="E112" s="18" t="s">
        <v>260</v>
      </c>
      <c r="F112" s="20" t="n">
        <v>46371</v>
      </c>
      <c r="G112" s="20" t="n">
        <v>46433</v>
      </c>
      <c r="H112" s="19"/>
      <c r="I112" s="19" t="n">
        <v>0</v>
      </c>
      <c r="J112" s="19" t="s">
        <v>65</v>
      </c>
      <c r="K112" s="21" t="b">
        <f aca="false">TRUE()</f>
        <v>1</v>
      </c>
      <c r="L112" s="18" t="s">
        <v>98</v>
      </c>
    </row>
    <row r="113" customFormat="false" ht="15" hidden="false" customHeight="false" outlineLevel="0" collapsed="false">
      <c r="A113" s="17" t="n">
        <v>112</v>
      </c>
      <c r="B113" s="18" t="s">
        <v>264</v>
      </c>
      <c r="C113" s="19" t="s">
        <v>242</v>
      </c>
      <c r="D113" s="19" t="s">
        <v>54</v>
      </c>
      <c r="E113" s="18" t="s">
        <v>260</v>
      </c>
      <c r="F113" s="20" t="n">
        <v>46419</v>
      </c>
      <c r="G113" s="20" t="n">
        <v>46461</v>
      </c>
      <c r="H113" s="19"/>
      <c r="I113" s="19" t="n">
        <v>0</v>
      </c>
      <c r="J113" s="19" t="s">
        <v>65</v>
      </c>
      <c r="K113" s="21" t="b">
        <f aca="false">TRUE()</f>
        <v>1</v>
      </c>
      <c r="L113" s="18" t="s">
        <v>98</v>
      </c>
    </row>
    <row r="114" customFormat="false" ht="15" hidden="false" customHeight="false" outlineLevel="0" collapsed="false">
      <c r="A114" s="17" t="n">
        <v>113</v>
      </c>
      <c r="B114" s="18" t="s">
        <v>265</v>
      </c>
      <c r="C114" s="19" t="s">
        <v>242</v>
      </c>
      <c r="D114" s="19" t="s">
        <v>78</v>
      </c>
      <c r="E114" s="18" t="s">
        <v>260</v>
      </c>
      <c r="F114" s="19"/>
      <c r="G114" s="20" t="n">
        <v>46477</v>
      </c>
      <c r="H114" s="19"/>
      <c r="I114" s="19" t="n">
        <v>0</v>
      </c>
      <c r="J114" s="19" t="s">
        <v>65</v>
      </c>
      <c r="K114" s="21" t="b">
        <f aca="false">TRUE()</f>
        <v>1</v>
      </c>
      <c r="L114" s="18" t="s">
        <v>98</v>
      </c>
    </row>
    <row r="115" customFormat="false" ht="23.85" hidden="false" customHeight="false" outlineLevel="0" collapsed="false">
      <c r="A115" s="17" t="n">
        <v>114</v>
      </c>
      <c r="B115" s="18" t="s">
        <v>266</v>
      </c>
      <c r="C115" s="19" t="s">
        <v>242</v>
      </c>
      <c r="D115" s="19" t="s">
        <v>54</v>
      </c>
      <c r="E115" s="18" t="s">
        <v>267</v>
      </c>
      <c r="F115" s="20" t="n">
        <v>46143</v>
      </c>
      <c r="G115" s="20" t="n">
        <v>46188</v>
      </c>
      <c r="H115" s="19"/>
      <c r="I115" s="19" t="n">
        <v>0</v>
      </c>
      <c r="J115" s="19" t="s">
        <v>65</v>
      </c>
      <c r="K115" s="21" t="b">
        <f aca="false">TRUE()</f>
        <v>1</v>
      </c>
      <c r="L115" s="18" t="s">
        <v>268</v>
      </c>
    </row>
    <row r="116" customFormat="false" ht="15" hidden="false" customHeight="false" outlineLevel="0" collapsed="false">
      <c r="A116" s="17" t="n">
        <v>115</v>
      </c>
      <c r="B116" s="18" t="s">
        <v>269</v>
      </c>
      <c r="C116" s="19" t="s">
        <v>242</v>
      </c>
      <c r="D116" s="19" t="s">
        <v>59</v>
      </c>
      <c r="E116" s="18" t="s">
        <v>267</v>
      </c>
      <c r="F116" s="20" t="n">
        <v>46157</v>
      </c>
      <c r="G116" s="20" t="n">
        <v>46203</v>
      </c>
      <c r="H116" s="19"/>
      <c r="I116" s="19" t="n">
        <v>0</v>
      </c>
      <c r="J116" s="19" t="s">
        <v>65</v>
      </c>
      <c r="K116" s="21" t="b">
        <f aca="false">TRUE()</f>
        <v>1</v>
      </c>
      <c r="L116" s="18" t="s">
        <v>270</v>
      </c>
    </row>
    <row r="117" customFormat="false" ht="15" hidden="false" customHeight="false" outlineLevel="0" collapsed="false">
      <c r="A117" s="17" t="n">
        <v>116</v>
      </c>
      <c r="B117" s="18" t="s">
        <v>271</v>
      </c>
      <c r="C117" s="19" t="s">
        <v>242</v>
      </c>
      <c r="D117" s="19" t="s">
        <v>59</v>
      </c>
      <c r="E117" s="18" t="s">
        <v>267</v>
      </c>
      <c r="F117" s="20" t="n">
        <v>46188</v>
      </c>
      <c r="G117" s="20" t="n">
        <v>46218</v>
      </c>
      <c r="H117" s="19"/>
      <c r="I117" s="19" t="n">
        <v>0</v>
      </c>
      <c r="J117" s="19" t="s">
        <v>65</v>
      </c>
      <c r="K117" s="21" t="b">
        <f aca="false">TRUE()</f>
        <v>1</v>
      </c>
      <c r="L117" s="18" t="s">
        <v>272</v>
      </c>
    </row>
    <row r="118" customFormat="false" ht="15" hidden="false" customHeight="false" outlineLevel="0" collapsed="false">
      <c r="A118" s="17" t="n">
        <v>117</v>
      </c>
      <c r="B118" s="18" t="s">
        <v>273</v>
      </c>
      <c r="C118" s="19" t="s">
        <v>242</v>
      </c>
      <c r="D118" s="19" t="s">
        <v>78</v>
      </c>
      <c r="E118" s="18" t="s">
        <v>267</v>
      </c>
      <c r="F118" s="19"/>
      <c r="G118" s="20" t="n">
        <v>46295</v>
      </c>
      <c r="H118" s="19"/>
      <c r="I118" s="19" t="n">
        <v>0</v>
      </c>
      <c r="J118" s="19" t="s">
        <v>65</v>
      </c>
      <c r="K118" s="21" t="b">
        <f aca="false">TRUE()</f>
        <v>1</v>
      </c>
      <c r="L118" s="18" t="s">
        <v>274</v>
      </c>
    </row>
    <row r="119" customFormat="false" ht="15" hidden="false" customHeight="false" outlineLevel="0" collapsed="false">
      <c r="A119" s="17" t="n">
        <v>118</v>
      </c>
      <c r="B119" s="18" t="s">
        <v>275</v>
      </c>
      <c r="C119" s="19" t="s">
        <v>242</v>
      </c>
      <c r="D119" s="19" t="s">
        <v>78</v>
      </c>
      <c r="E119" s="18" t="s">
        <v>276</v>
      </c>
      <c r="F119" s="19"/>
      <c r="G119" s="20" t="n">
        <v>46492</v>
      </c>
      <c r="H119" s="19"/>
      <c r="I119" s="19" t="n">
        <v>0</v>
      </c>
      <c r="J119" s="19" t="s">
        <v>65</v>
      </c>
      <c r="K119" s="21" t="b">
        <f aca="false">TRUE()</f>
        <v>1</v>
      </c>
      <c r="L119" s="18" t="s">
        <v>277</v>
      </c>
    </row>
    <row r="120" customFormat="false" ht="15" hidden="false" customHeight="false" outlineLevel="0" collapsed="false">
      <c r="A120" s="17" t="n">
        <v>119</v>
      </c>
      <c r="B120" s="18" t="s">
        <v>278</v>
      </c>
      <c r="C120" s="19" t="s">
        <v>242</v>
      </c>
      <c r="D120" s="19" t="s">
        <v>59</v>
      </c>
      <c r="E120" s="18" t="s">
        <v>276</v>
      </c>
      <c r="F120" s="20" t="n">
        <v>46492</v>
      </c>
      <c r="G120" s="20" t="n">
        <v>46568</v>
      </c>
      <c r="H120" s="19"/>
      <c r="I120" s="19" t="n">
        <v>0</v>
      </c>
      <c r="J120" s="19" t="s">
        <v>65</v>
      </c>
      <c r="K120" s="21" t="b">
        <f aca="false">TRUE()</f>
        <v>1</v>
      </c>
      <c r="L120" s="18" t="s">
        <v>98</v>
      </c>
    </row>
    <row r="121" customFormat="false" ht="23.85" hidden="false" customHeight="false" outlineLevel="0" collapsed="false">
      <c r="A121" s="17" t="n">
        <v>120</v>
      </c>
      <c r="B121" s="18" t="s">
        <v>279</v>
      </c>
      <c r="C121" s="19" t="s">
        <v>242</v>
      </c>
      <c r="D121" s="19" t="s">
        <v>78</v>
      </c>
      <c r="E121" s="18" t="s">
        <v>276</v>
      </c>
      <c r="F121" s="19"/>
      <c r="G121" s="20" t="n">
        <v>46583</v>
      </c>
      <c r="H121" s="19"/>
      <c r="I121" s="19" t="n">
        <v>0</v>
      </c>
      <c r="J121" s="19" t="s">
        <v>65</v>
      </c>
      <c r="K121" s="21" t="b">
        <f aca="false">TRUE()</f>
        <v>1</v>
      </c>
      <c r="L121" s="18" t="s">
        <v>280</v>
      </c>
    </row>
  </sheetData>
  <autoFilter ref="A1:L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10"/>
  </cols>
  <sheetData>
    <row r="1" customFormat="false" ht="24" hidden="false" customHeight="true" outlineLevel="0" collapsed="false">
      <c r="A1" s="6" t="s">
        <v>48</v>
      </c>
      <c r="B1" s="6" t="s">
        <v>281</v>
      </c>
      <c r="C1" s="6" t="s">
        <v>28</v>
      </c>
      <c r="D1" s="6" t="s">
        <v>30</v>
      </c>
      <c r="E1" s="6" t="s">
        <v>282</v>
      </c>
      <c r="F1" s="6" t="s">
        <v>283</v>
      </c>
    </row>
    <row r="2" customFormat="false" ht="60" hidden="false" customHeight="true" outlineLevel="0" collapsed="false">
      <c r="A2" s="17" t="n">
        <v>1</v>
      </c>
      <c r="B2" s="19" t="s">
        <v>284</v>
      </c>
      <c r="C2" s="18" t="s">
        <v>285</v>
      </c>
      <c r="D2" s="19" t="s">
        <v>53</v>
      </c>
      <c r="E2" s="18" t="s">
        <v>286</v>
      </c>
      <c r="F2" s="19" t="s">
        <v>287</v>
      </c>
    </row>
    <row r="3" customFormat="false" ht="60" hidden="false" customHeight="true" outlineLevel="0" collapsed="false">
      <c r="A3" s="17" t="n">
        <v>2</v>
      </c>
      <c r="B3" s="19" t="s">
        <v>288</v>
      </c>
      <c r="C3" s="18" t="s">
        <v>289</v>
      </c>
      <c r="D3" s="19" t="s">
        <v>53</v>
      </c>
      <c r="E3" s="18" t="s">
        <v>290</v>
      </c>
      <c r="F3" s="19" t="s">
        <v>287</v>
      </c>
    </row>
    <row r="4" customFormat="false" ht="60" hidden="false" customHeight="true" outlineLevel="0" collapsed="false">
      <c r="A4" s="17" t="n">
        <v>3</v>
      </c>
      <c r="B4" s="19" t="s">
        <v>291</v>
      </c>
      <c r="C4" s="18" t="s">
        <v>292</v>
      </c>
      <c r="D4" s="19" t="s">
        <v>53</v>
      </c>
      <c r="E4" s="18" t="s">
        <v>293</v>
      </c>
      <c r="F4" s="19" t="s">
        <v>287</v>
      </c>
    </row>
    <row r="5" customFormat="false" ht="60" hidden="false" customHeight="true" outlineLevel="0" collapsed="false">
      <c r="A5" s="17" t="n">
        <v>4</v>
      </c>
      <c r="B5" s="19" t="s">
        <v>291</v>
      </c>
      <c r="C5" s="18" t="s">
        <v>294</v>
      </c>
      <c r="D5" s="19" t="s">
        <v>53</v>
      </c>
      <c r="E5" s="18" t="s">
        <v>295</v>
      </c>
      <c r="F5" s="19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22" t="s">
        <v>296</v>
      </c>
    </row>
    <row r="3" customFormat="false" ht="15" hidden="false" customHeight="false" outlineLevel="0" collapsed="false">
      <c r="A3" s="23" t="s">
        <v>30</v>
      </c>
      <c r="B3" s="23" t="s">
        <v>297</v>
      </c>
      <c r="C3" s="23" t="s">
        <v>298</v>
      </c>
      <c r="D3" s="23" t="s">
        <v>56</v>
      </c>
      <c r="E3" s="23" t="s">
        <v>299</v>
      </c>
      <c r="F3" s="23" t="s">
        <v>65</v>
      </c>
    </row>
    <row r="4" customFormat="false" ht="15" hidden="false" customHeight="false" outlineLevel="0" collapsed="false">
      <c r="A4" s="24" t="s">
        <v>53</v>
      </c>
      <c r="B4" s="19" t="n">
        <v>9</v>
      </c>
      <c r="C4" s="19" t="n">
        <v>64</v>
      </c>
      <c r="D4" s="9" t="n">
        <v>4</v>
      </c>
      <c r="E4" s="14" t="n">
        <v>8</v>
      </c>
      <c r="F4" s="19" t="n">
        <v>52</v>
      </c>
    </row>
    <row r="5" customFormat="false" ht="15" hidden="false" customHeight="false" outlineLevel="0" collapsed="false">
      <c r="A5" s="24" t="s">
        <v>186</v>
      </c>
      <c r="B5" s="19" t="n">
        <v>6</v>
      </c>
      <c r="C5" s="19" t="n">
        <v>32</v>
      </c>
      <c r="D5" s="9" t="n">
        <v>5</v>
      </c>
      <c r="E5" s="14" t="n">
        <v>2</v>
      </c>
      <c r="F5" s="19" t="n">
        <v>25</v>
      </c>
    </row>
    <row r="6" customFormat="false" ht="15" hidden="false" customHeight="false" outlineLevel="0" collapsed="false">
      <c r="A6" s="24" t="s">
        <v>242</v>
      </c>
      <c r="B6" s="19" t="n">
        <v>5</v>
      </c>
      <c r="C6" s="19" t="n">
        <v>24</v>
      </c>
      <c r="D6" s="9" t="n">
        <v>0</v>
      </c>
      <c r="E6" s="14" t="n">
        <v>2</v>
      </c>
      <c r="F6" s="19" t="n">
        <v>22</v>
      </c>
    </row>
    <row r="7" customFormat="false" ht="15" hidden="false" customHeight="false" outlineLevel="0" collapsed="false">
      <c r="A7" s="25" t="s">
        <v>300</v>
      </c>
      <c r="B7" s="26" t="n">
        <f aca="false">SUM(B4:B6)</f>
        <v>20</v>
      </c>
      <c r="C7" s="26" t="n">
        <f aca="false">SUM(C4:C6)</f>
        <v>120</v>
      </c>
      <c r="D7" s="27" t="n">
        <f aca="false">SUM(D4:D6)</f>
        <v>9</v>
      </c>
      <c r="E7" s="28" t="n">
        <f aca="false">SUM(E4:E6)</f>
        <v>12</v>
      </c>
      <c r="F7" s="26" t="n">
        <f aca="false">SUM(F4:F6)</f>
        <v>99</v>
      </c>
    </row>
    <row r="10" customFormat="false" ht="15" hidden="false" customHeight="false" outlineLevel="0" collapsed="false">
      <c r="A10" s="1" t="s">
        <v>301</v>
      </c>
    </row>
    <row r="11" customFormat="false" ht="15" hidden="false" customHeight="false" outlineLevel="0" collapsed="false">
      <c r="A11" s="29" t="s">
        <v>30</v>
      </c>
      <c r="B11" s="29" t="s">
        <v>34</v>
      </c>
      <c r="C11" s="29" t="s">
        <v>302</v>
      </c>
      <c r="D11" s="29" t="s">
        <v>56</v>
      </c>
      <c r="E11" s="29" t="s">
        <v>299</v>
      </c>
      <c r="F11" s="29" t="s">
        <v>65</v>
      </c>
    </row>
    <row r="12" customFormat="false" ht="15" hidden="false" customHeight="false" outlineLevel="0" collapsed="false">
      <c r="A12" s="24" t="s">
        <v>53</v>
      </c>
      <c r="B12" s="24" t="s">
        <v>55</v>
      </c>
      <c r="C12" s="19" t="n">
        <v>11</v>
      </c>
      <c r="D12" s="9" t="n">
        <v>1</v>
      </c>
      <c r="E12" s="14" t="n">
        <v>2</v>
      </c>
      <c r="F12" s="19" t="n">
        <v>8</v>
      </c>
    </row>
    <row r="13" customFormat="false" ht="15" hidden="false" customHeight="false" outlineLevel="0" collapsed="false">
      <c r="A13" s="24" t="s">
        <v>53</v>
      </c>
      <c r="B13" s="24" t="s">
        <v>83</v>
      </c>
      <c r="C13" s="19" t="n">
        <v>10</v>
      </c>
      <c r="D13" s="19" t="n">
        <v>0</v>
      </c>
      <c r="E13" s="14" t="n">
        <v>1</v>
      </c>
      <c r="F13" s="19" t="n">
        <v>9</v>
      </c>
    </row>
    <row r="14" customFormat="false" ht="15" hidden="false" customHeight="false" outlineLevel="0" collapsed="false">
      <c r="A14" s="24" t="s">
        <v>53</v>
      </c>
      <c r="B14" s="24" t="s">
        <v>104</v>
      </c>
      <c r="C14" s="19" t="n">
        <v>8</v>
      </c>
      <c r="D14" s="19" t="n">
        <v>0</v>
      </c>
      <c r="E14" s="14" t="n">
        <v>1</v>
      </c>
      <c r="F14" s="19" t="n">
        <v>7</v>
      </c>
    </row>
    <row r="15" customFormat="false" ht="15" hidden="false" customHeight="false" outlineLevel="0" collapsed="false">
      <c r="A15" s="24" t="s">
        <v>53</v>
      </c>
      <c r="B15" s="24" t="s">
        <v>121</v>
      </c>
      <c r="C15" s="19" t="n">
        <v>8</v>
      </c>
      <c r="D15" s="19" t="n">
        <v>0</v>
      </c>
      <c r="E15" s="14" t="n">
        <v>1</v>
      </c>
      <c r="F15" s="19" t="n">
        <v>7</v>
      </c>
    </row>
    <row r="16" customFormat="false" ht="15" hidden="false" customHeight="false" outlineLevel="0" collapsed="false">
      <c r="A16" s="24" t="s">
        <v>53</v>
      </c>
      <c r="B16" s="24" t="s">
        <v>135</v>
      </c>
      <c r="C16" s="19" t="n">
        <v>5</v>
      </c>
      <c r="D16" s="19" t="n">
        <v>0</v>
      </c>
      <c r="E16" s="19" t="n">
        <v>0</v>
      </c>
      <c r="F16" s="19" t="n">
        <v>5</v>
      </c>
    </row>
    <row r="17" customFormat="false" ht="15" hidden="false" customHeight="false" outlineLevel="0" collapsed="false">
      <c r="A17" s="24" t="s">
        <v>53</v>
      </c>
      <c r="B17" s="24" t="s">
        <v>143</v>
      </c>
      <c r="C17" s="19" t="n">
        <v>4</v>
      </c>
      <c r="D17" s="19" t="n">
        <v>0</v>
      </c>
      <c r="E17" s="14" t="n">
        <v>1</v>
      </c>
      <c r="F17" s="19" t="n">
        <v>3</v>
      </c>
    </row>
    <row r="18" customFormat="false" ht="15" hidden="false" customHeight="false" outlineLevel="0" collapsed="false">
      <c r="A18" s="24" t="s">
        <v>53</v>
      </c>
      <c r="B18" s="24" t="s">
        <v>152</v>
      </c>
      <c r="C18" s="19" t="n">
        <v>4</v>
      </c>
      <c r="D18" s="19" t="n">
        <v>0</v>
      </c>
      <c r="E18" s="19" t="n">
        <v>0</v>
      </c>
      <c r="F18" s="19" t="n">
        <v>4</v>
      </c>
    </row>
    <row r="19" customFormat="false" ht="15" hidden="false" customHeight="false" outlineLevel="0" collapsed="false">
      <c r="A19" s="24" t="s">
        <v>53</v>
      </c>
      <c r="B19" s="24" t="s">
        <v>158</v>
      </c>
      <c r="C19" s="19" t="n">
        <v>9</v>
      </c>
      <c r="D19" s="9" t="n">
        <v>3</v>
      </c>
      <c r="E19" s="14" t="n">
        <v>1</v>
      </c>
      <c r="F19" s="19" t="n">
        <v>5</v>
      </c>
    </row>
    <row r="20" customFormat="false" ht="15" hidden="false" customHeight="false" outlineLevel="0" collapsed="false">
      <c r="A20" s="24" t="s">
        <v>53</v>
      </c>
      <c r="B20" s="24" t="s">
        <v>176</v>
      </c>
      <c r="C20" s="19" t="n">
        <v>5</v>
      </c>
      <c r="D20" s="19" t="n">
        <v>0</v>
      </c>
      <c r="E20" s="14" t="n">
        <v>1</v>
      </c>
      <c r="F20" s="19" t="n">
        <v>4</v>
      </c>
    </row>
    <row r="21" customFormat="false" ht="15" hidden="false" customHeight="false" outlineLevel="0" collapsed="false">
      <c r="A21" s="24" t="s">
        <v>186</v>
      </c>
      <c r="B21" s="24" t="s">
        <v>187</v>
      </c>
      <c r="C21" s="19" t="n">
        <v>4</v>
      </c>
      <c r="D21" s="9" t="n">
        <v>4</v>
      </c>
      <c r="E21" s="19" t="n">
        <v>0</v>
      </c>
      <c r="F21" s="19" t="n">
        <v>0</v>
      </c>
    </row>
    <row r="22" customFormat="false" ht="15" hidden="false" customHeight="false" outlineLevel="0" collapsed="false">
      <c r="A22" s="24" t="s">
        <v>186</v>
      </c>
      <c r="B22" s="24" t="s">
        <v>196</v>
      </c>
      <c r="C22" s="19" t="n">
        <v>5</v>
      </c>
      <c r="D22" s="9" t="n">
        <v>1</v>
      </c>
      <c r="E22" s="14" t="n">
        <v>2</v>
      </c>
      <c r="F22" s="19" t="n">
        <v>2</v>
      </c>
    </row>
    <row r="23" customFormat="false" ht="15" hidden="false" customHeight="false" outlineLevel="0" collapsed="false">
      <c r="A23" s="24" t="s">
        <v>186</v>
      </c>
      <c r="B23" s="24" t="s">
        <v>207</v>
      </c>
      <c r="C23" s="19" t="n">
        <v>6</v>
      </c>
      <c r="D23" s="19" t="n">
        <v>0</v>
      </c>
      <c r="E23" s="19" t="n">
        <v>0</v>
      </c>
      <c r="F23" s="19" t="n">
        <v>6</v>
      </c>
    </row>
    <row r="24" customFormat="false" ht="15" hidden="false" customHeight="false" outlineLevel="0" collapsed="false">
      <c r="A24" s="24" t="s">
        <v>186</v>
      </c>
      <c r="B24" s="24" t="s">
        <v>217</v>
      </c>
      <c r="C24" s="19" t="n">
        <v>6</v>
      </c>
      <c r="D24" s="19" t="n">
        <v>0</v>
      </c>
      <c r="E24" s="19" t="n">
        <v>0</v>
      </c>
      <c r="F24" s="19" t="n">
        <v>6</v>
      </c>
    </row>
    <row r="25" customFormat="false" ht="15" hidden="false" customHeight="false" outlineLevel="0" collapsed="false">
      <c r="A25" s="24" t="s">
        <v>186</v>
      </c>
      <c r="B25" s="24" t="s">
        <v>226</v>
      </c>
      <c r="C25" s="19" t="n">
        <v>7</v>
      </c>
      <c r="D25" s="19" t="n">
        <v>0</v>
      </c>
      <c r="E25" s="19" t="n">
        <v>0</v>
      </c>
      <c r="F25" s="19" t="n">
        <v>7</v>
      </c>
    </row>
    <row r="26" customFormat="false" ht="15" hidden="false" customHeight="false" outlineLevel="0" collapsed="false">
      <c r="A26" s="24" t="s">
        <v>186</v>
      </c>
      <c r="B26" s="24" t="s">
        <v>236</v>
      </c>
      <c r="C26" s="19" t="n">
        <v>4</v>
      </c>
      <c r="D26" s="19" t="n">
        <v>0</v>
      </c>
      <c r="E26" s="19" t="n">
        <v>0</v>
      </c>
      <c r="F26" s="19" t="n">
        <v>4</v>
      </c>
    </row>
    <row r="27" customFormat="false" ht="15" hidden="false" customHeight="false" outlineLevel="0" collapsed="false">
      <c r="A27" s="24" t="s">
        <v>242</v>
      </c>
      <c r="B27" s="24" t="s">
        <v>243</v>
      </c>
      <c r="C27" s="19" t="n">
        <v>6</v>
      </c>
      <c r="D27" s="19" t="n">
        <v>0</v>
      </c>
      <c r="E27" s="14" t="n">
        <v>2</v>
      </c>
      <c r="F27" s="19" t="n">
        <v>4</v>
      </c>
    </row>
    <row r="28" customFormat="false" ht="15" hidden="false" customHeight="false" outlineLevel="0" collapsed="false">
      <c r="A28" s="24" t="s">
        <v>242</v>
      </c>
      <c r="B28" s="24" t="s">
        <v>252</v>
      </c>
      <c r="C28" s="19" t="n">
        <v>6</v>
      </c>
      <c r="D28" s="19" t="n">
        <v>0</v>
      </c>
      <c r="E28" s="19" t="n">
        <v>0</v>
      </c>
      <c r="F28" s="19" t="n">
        <v>6</v>
      </c>
    </row>
    <row r="29" customFormat="false" ht="15" hidden="false" customHeight="false" outlineLevel="0" collapsed="false">
      <c r="A29" s="24" t="s">
        <v>242</v>
      </c>
      <c r="B29" s="24" t="s">
        <v>260</v>
      </c>
      <c r="C29" s="19" t="n">
        <v>5</v>
      </c>
      <c r="D29" s="19" t="n">
        <v>0</v>
      </c>
      <c r="E29" s="19" t="n">
        <v>0</v>
      </c>
      <c r="F29" s="19" t="n">
        <v>5</v>
      </c>
    </row>
    <row r="30" customFormat="false" ht="15" hidden="false" customHeight="false" outlineLevel="0" collapsed="false">
      <c r="A30" s="24" t="s">
        <v>242</v>
      </c>
      <c r="B30" s="24" t="s">
        <v>267</v>
      </c>
      <c r="C30" s="19" t="n">
        <v>4</v>
      </c>
      <c r="D30" s="19" t="n">
        <v>0</v>
      </c>
      <c r="E30" s="19" t="n">
        <v>0</v>
      </c>
      <c r="F30" s="19" t="n">
        <v>4</v>
      </c>
    </row>
    <row r="31" customFormat="false" ht="15" hidden="false" customHeight="false" outlineLevel="0" collapsed="false">
      <c r="A31" s="24" t="s">
        <v>242</v>
      </c>
      <c r="B31" s="24" t="s">
        <v>276</v>
      </c>
      <c r="C31" s="19" t="n">
        <v>3</v>
      </c>
      <c r="D31" s="19" t="n">
        <v>0</v>
      </c>
      <c r="E31" s="19" t="n">
        <v>0</v>
      </c>
      <c r="F31" s="19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2026-04-23T13:51:53Z</dcterms:created>
  <dc:creator>openpyxl</dc:creator>
  <dc:description/>
  <dc:language>en-US</dc:language>
  <cp:lastModifiedBy/>
  <dcterms:modified xsi:type="dcterms:W3CDTF">2026-04-23T13:51:54Z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